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Desktop\учеба\мсс\"/>
    </mc:Choice>
  </mc:AlternateContent>
  <bookViews>
    <workbookView xWindow="0" yWindow="0" windowWidth="23040" windowHeight="8532"/>
  </bookViews>
  <sheets>
    <sheet name="Лист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6" i="1" l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U84" i="1"/>
  <c r="E84" i="1"/>
  <c r="U83" i="1"/>
  <c r="E83" i="1"/>
  <c r="U82" i="1"/>
  <c r="E82" i="1"/>
  <c r="U81" i="1"/>
  <c r="E81" i="1"/>
  <c r="U80" i="1"/>
  <c r="E80" i="1"/>
  <c r="U79" i="1"/>
  <c r="E79" i="1"/>
  <c r="U78" i="1"/>
  <c r="E78" i="1"/>
  <c r="U77" i="1"/>
  <c r="E77" i="1"/>
  <c r="U76" i="1"/>
  <c r="E76" i="1"/>
  <c r="U75" i="1"/>
  <c r="E75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P68" i="1"/>
  <c r="U67" i="1"/>
  <c r="E67" i="1"/>
  <c r="U66" i="1"/>
  <c r="E66" i="1"/>
  <c r="U65" i="1"/>
  <c r="E65" i="1"/>
  <c r="U64" i="1"/>
  <c r="E64" i="1"/>
  <c r="U63" i="1"/>
  <c r="E63" i="1"/>
  <c r="U62" i="1"/>
  <c r="E62" i="1"/>
  <c r="U61" i="1"/>
  <c r="E61" i="1"/>
  <c r="U60" i="1"/>
  <c r="E60" i="1"/>
  <c r="U59" i="1"/>
  <c r="E59" i="1"/>
  <c r="U58" i="1"/>
  <c r="E58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U50" i="1"/>
  <c r="E50" i="1"/>
  <c r="U49" i="1"/>
  <c r="E49" i="1"/>
  <c r="U48" i="1"/>
  <c r="E48" i="1"/>
  <c r="U47" i="1"/>
  <c r="E47" i="1"/>
  <c r="U46" i="1"/>
  <c r="F46" i="1"/>
  <c r="E46" i="1"/>
  <c r="U45" i="1"/>
  <c r="F45" i="1"/>
  <c r="E45" i="1"/>
  <c r="U44" i="1"/>
  <c r="E44" i="1"/>
  <c r="U43" i="1"/>
  <c r="E43" i="1"/>
  <c r="U42" i="1"/>
  <c r="E42" i="1"/>
  <c r="U41" i="1"/>
  <c r="F41" i="1"/>
  <c r="Y18" i="1" s="1"/>
  <c r="E41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U32" i="1"/>
  <c r="E32" i="1"/>
  <c r="U31" i="1"/>
  <c r="E31" i="1"/>
  <c r="U30" i="1"/>
  <c r="E30" i="1"/>
  <c r="U29" i="1"/>
  <c r="E29" i="1"/>
  <c r="U28" i="1"/>
  <c r="E28" i="1"/>
  <c r="U27" i="1"/>
  <c r="E27" i="1"/>
  <c r="U26" i="1"/>
  <c r="E26" i="1"/>
  <c r="U25" i="1"/>
  <c r="E25" i="1"/>
  <c r="U24" i="1"/>
  <c r="E24" i="1"/>
  <c r="U23" i="1"/>
  <c r="E23" i="1"/>
  <c r="Y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Y21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T15" i="1"/>
  <c r="S15" i="1"/>
  <c r="AL6" i="1" s="1"/>
  <c r="R15" i="1"/>
  <c r="Q68" i="1" s="1"/>
  <c r="Q15" i="1"/>
  <c r="P15" i="1"/>
  <c r="O15" i="1"/>
  <c r="O68" i="1" s="1"/>
  <c r="U14" i="1"/>
  <c r="S14" i="1"/>
  <c r="R14" i="1"/>
  <c r="R51" i="1" s="1"/>
  <c r="AK7" i="1" s="1"/>
  <c r="Q14" i="1"/>
  <c r="Q51" i="1" s="1"/>
  <c r="AJ7" i="1" s="1"/>
  <c r="P14" i="1"/>
  <c r="P51" i="1" s="1"/>
  <c r="AI7" i="1" s="1"/>
  <c r="O14" i="1"/>
  <c r="O51" i="1" s="1"/>
  <c r="AH7" i="1" s="1"/>
  <c r="N14" i="1"/>
  <c r="E14" i="1"/>
  <c r="U13" i="1"/>
  <c r="S13" i="1"/>
  <c r="S50" i="1" s="1"/>
  <c r="R13" i="1"/>
  <c r="R50" i="1" s="1"/>
  <c r="Q13" i="1"/>
  <c r="Q50" i="1" s="1"/>
  <c r="P13" i="1"/>
  <c r="P50" i="1" s="1"/>
  <c r="O13" i="1"/>
  <c r="N66" i="1" s="1"/>
  <c r="N13" i="1"/>
  <c r="M13" i="1"/>
  <c r="E13" i="1"/>
  <c r="U12" i="1"/>
  <c r="S12" i="1"/>
  <c r="R12" i="1"/>
  <c r="Q12" i="1"/>
  <c r="P12" i="1"/>
  <c r="O12" i="1"/>
  <c r="N12" i="1"/>
  <c r="M65" i="1" s="1"/>
  <c r="M12" i="1"/>
  <c r="M49" i="1" s="1"/>
  <c r="AF7" i="1" s="1"/>
  <c r="L12" i="1"/>
  <c r="E12" i="1"/>
  <c r="Y11" i="1"/>
  <c r="U11" i="1"/>
  <c r="S11" i="1"/>
  <c r="R11" i="1"/>
  <c r="Q11" i="1"/>
  <c r="P11" i="1"/>
  <c r="O11" i="1"/>
  <c r="N11" i="1"/>
  <c r="M11" i="1"/>
  <c r="L64" i="1" s="1"/>
  <c r="L11" i="1"/>
  <c r="K64" i="1" s="1"/>
  <c r="AD8" i="1" s="1"/>
  <c r="K11" i="1"/>
  <c r="E11" i="1"/>
  <c r="Y10" i="1"/>
  <c r="U10" i="1"/>
  <c r="S10" i="1"/>
  <c r="R10" i="1"/>
  <c r="Q10" i="1"/>
  <c r="P10" i="1"/>
  <c r="O10" i="1"/>
  <c r="N10" i="1"/>
  <c r="M10" i="1"/>
  <c r="L10" i="1"/>
  <c r="L47" i="1" s="1"/>
  <c r="K10" i="1"/>
  <c r="J63" i="1" s="1"/>
  <c r="J10" i="1"/>
  <c r="I63" i="1" s="1"/>
  <c r="I10" i="1"/>
  <c r="H63" i="1" s="1"/>
  <c r="H10" i="1"/>
  <c r="G63" i="1" s="1"/>
  <c r="Z8" i="1" s="1"/>
  <c r="G10" i="1"/>
  <c r="F63" i="1" s="1"/>
  <c r="F10" i="1"/>
  <c r="E10" i="1"/>
  <c r="U9" i="1"/>
  <c r="S9" i="1"/>
  <c r="R9" i="1"/>
  <c r="Q9" i="1"/>
  <c r="P9" i="1"/>
  <c r="O9" i="1"/>
  <c r="N9" i="1"/>
  <c r="M9" i="1"/>
  <c r="L9" i="1"/>
  <c r="K9" i="1"/>
  <c r="K46" i="1" s="1"/>
  <c r="J9" i="1"/>
  <c r="I9" i="1"/>
  <c r="H9" i="1"/>
  <c r="G62" i="1" s="1"/>
  <c r="G9" i="1"/>
  <c r="F62" i="1" s="1"/>
  <c r="F79" i="1" s="1"/>
  <c r="F9" i="1"/>
  <c r="E9" i="1"/>
  <c r="U8" i="1"/>
  <c r="S8" i="1"/>
  <c r="R8" i="1"/>
  <c r="Q8" i="1"/>
  <c r="P8" i="1"/>
  <c r="O8" i="1"/>
  <c r="N8" i="1"/>
  <c r="M8" i="1"/>
  <c r="L8" i="1"/>
  <c r="K8" i="1"/>
  <c r="J8" i="1"/>
  <c r="I8" i="1"/>
  <c r="H8" i="1"/>
  <c r="G61" i="1" s="1"/>
  <c r="G8" i="1"/>
  <c r="G45" i="1" s="1"/>
  <c r="F8" i="1"/>
  <c r="F44" i="1" s="1"/>
  <c r="E8" i="1"/>
  <c r="Y7" i="1"/>
  <c r="U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F43" i="1" s="1"/>
  <c r="E7" i="1"/>
  <c r="AM6" i="1"/>
  <c r="AK6" i="1"/>
  <c r="AJ6" i="1"/>
  <c r="AI6" i="1"/>
  <c r="AG6" i="1"/>
  <c r="AE6" i="1"/>
  <c r="AD6" i="1"/>
  <c r="AC6" i="1"/>
  <c r="AB6" i="1"/>
  <c r="AA6" i="1"/>
  <c r="Z6" i="1"/>
  <c r="Y6" i="1"/>
  <c r="U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59" i="1" s="1"/>
  <c r="F6" i="1"/>
  <c r="F42" i="1" s="1"/>
  <c r="E6" i="1"/>
  <c r="B6" i="1"/>
  <c r="T14" i="1" s="1"/>
  <c r="U5" i="1"/>
  <c r="F5" i="1"/>
  <c r="G5" i="1" s="1"/>
  <c r="F58" i="1" s="1"/>
  <c r="E5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N45" i="1" l="1"/>
  <c r="M45" i="1"/>
  <c r="M44" i="1"/>
  <c r="N48" i="1"/>
  <c r="N44" i="1"/>
  <c r="O45" i="1"/>
  <c r="Q47" i="1"/>
  <c r="H43" i="1"/>
  <c r="S46" i="1"/>
  <c r="P48" i="1"/>
  <c r="P43" i="1"/>
  <c r="R61" i="1"/>
  <c r="R63" i="1"/>
  <c r="P66" i="1"/>
  <c r="J61" i="1"/>
  <c r="H59" i="1"/>
  <c r="P59" i="1"/>
  <c r="O43" i="1"/>
  <c r="R47" i="1"/>
  <c r="R65" i="1"/>
  <c r="M46" i="1"/>
  <c r="L45" i="1"/>
  <c r="Q65" i="1"/>
  <c r="Q44" i="1"/>
  <c r="G43" i="1"/>
  <c r="G59" i="1"/>
  <c r="O59" i="1"/>
  <c r="G44" i="1"/>
  <c r="G78" i="1" s="1"/>
  <c r="N60" i="1"/>
  <c r="I59" i="1"/>
  <c r="M64" i="1"/>
  <c r="N43" i="1"/>
  <c r="O61" i="1"/>
  <c r="O62" i="1"/>
  <c r="O63" i="1"/>
  <c r="O44" i="1"/>
  <c r="Q59" i="1"/>
  <c r="N59" i="1"/>
  <c r="J60" i="1"/>
  <c r="R60" i="1"/>
  <c r="H61" i="1"/>
  <c r="P61" i="1"/>
  <c r="H62" i="1"/>
  <c r="P62" i="1"/>
  <c r="P63" i="1"/>
  <c r="M47" i="1"/>
  <c r="N49" i="1"/>
  <c r="N83" i="1" s="1"/>
  <c r="H44" i="1"/>
  <c r="P44" i="1"/>
  <c r="N47" i="1"/>
  <c r="Q64" i="1"/>
  <c r="O66" i="1"/>
  <c r="N67" i="1"/>
  <c r="AG8" i="1" s="1"/>
  <c r="G46" i="1"/>
  <c r="Z7" i="1" s="1"/>
  <c r="S47" i="1"/>
  <c r="J62" i="1"/>
  <c r="O64" i="1"/>
  <c r="K47" i="1"/>
  <c r="AD7" i="1" s="1"/>
  <c r="R59" i="1"/>
  <c r="L59" i="1"/>
  <c r="H60" i="1"/>
  <c r="P60" i="1"/>
  <c r="N62" i="1"/>
  <c r="H46" i="1"/>
  <c r="AA7" i="1" s="1"/>
  <c r="F60" i="1"/>
  <c r="F77" i="1" s="1"/>
  <c r="L62" i="1"/>
  <c r="O67" i="1"/>
  <c r="G79" i="1"/>
  <c r="H45" i="1"/>
  <c r="L60" i="1"/>
  <c r="R62" i="1"/>
  <c r="J59" i="1"/>
  <c r="L81" i="1"/>
  <c r="P46" i="1"/>
  <c r="I44" i="1"/>
  <c r="P45" i="1"/>
  <c r="Y19" i="1"/>
  <c r="F75" i="1"/>
  <c r="Y20" i="1" s="1"/>
  <c r="T67" i="1"/>
  <c r="S67" i="1"/>
  <c r="S84" i="1" s="1"/>
  <c r="T50" i="1"/>
  <c r="T13" i="1"/>
  <c r="T51" i="1"/>
  <c r="AM7" i="1" s="1"/>
  <c r="AB8" i="1"/>
  <c r="K59" i="1"/>
  <c r="L43" i="1"/>
  <c r="I61" i="1"/>
  <c r="J45" i="1"/>
  <c r="Q61" i="1"/>
  <c r="R45" i="1"/>
  <c r="N64" i="1"/>
  <c r="O48" i="1"/>
  <c r="Q67" i="1"/>
  <c r="Q84" i="1" s="1"/>
  <c r="AH8" i="1"/>
  <c r="O85" i="1"/>
  <c r="AH9" i="1" s="1"/>
  <c r="M59" i="1"/>
  <c r="M62" i="1"/>
  <c r="AA8" i="1"/>
  <c r="P65" i="1"/>
  <c r="R43" i="1"/>
  <c r="K61" i="1"/>
  <c r="L46" i="1"/>
  <c r="K62" i="1"/>
  <c r="I60" i="1"/>
  <c r="J44" i="1"/>
  <c r="Q60" i="1"/>
  <c r="R44" i="1"/>
  <c r="P64" i="1"/>
  <c r="Q48" i="1"/>
  <c r="R49" i="1"/>
  <c r="AJ8" i="1"/>
  <c r="Q85" i="1"/>
  <c r="AJ9" i="1" s="1"/>
  <c r="M61" i="1"/>
  <c r="AI8" i="1"/>
  <c r="P85" i="1"/>
  <c r="AI9" i="1" s="1"/>
  <c r="Y8" i="1"/>
  <c r="F80" i="1"/>
  <c r="Y9" i="1" s="1"/>
  <c r="Y17" i="1"/>
  <c r="R68" i="1"/>
  <c r="G42" i="1"/>
  <c r="G41" i="1"/>
  <c r="Z18" i="1" s="1"/>
  <c r="H5" i="1"/>
  <c r="Z17" i="1"/>
  <c r="K60" i="1"/>
  <c r="L44" i="1"/>
  <c r="AC8" i="1"/>
  <c r="R64" i="1"/>
  <c r="S51" i="1"/>
  <c r="AL7" i="1" s="1"/>
  <c r="T68" i="1"/>
  <c r="O46" i="1"/>
  <c r="R66" i="1"/>
  <c r="O47" i="1"/>
  <c r="F76" i="1"/>
  <c r="I62" i="1"/>
  <c r="J46" i="1"/>
  <c r="AC7" i="1" s="1"/>
  <c r="Q62" i="1"/>
  <c r="R46" i="1"/>
  <c r="K63" i="1"/>
  <c r="K80" i="1" s="1"/>
  <c r="N65" i="1"/>
  <c r="O49" i="1"/>
  <c r="M48" i="1"/>
  <c r="M82" i="1" s="1"/>
  <c r="AF6" i="1"/>
  <c r="J43" i="1"/>
  <c r="Q63" i="1"/>
  <c r="L65" i="1"/>
  <c r="I43" i="1"/>
  <c r="Q43" i="1"/>
  <c r="N46" i="1"/>
  <c r="M60" i="1"/>
  <c r="L61" i="1"/>
  <c r="Q66" i="1"/>
  <c r="P67" i="1"/>
  <c r="P84" i="1" s="1"/>
  <c r="K43" i="1"/>
  <c r="S43" i="1"/>
  <c r="I45" i="1"/>
  <c r="Q45" i="1"/>
  <c r="N50" i="1"/>
  <c r="AG7" i="1" s="1"/>
  <c r="G60" i="1"/>
  <c r="O60" i="1"/>
  <c r="F61" i="1"/>
  <c r="F78" i="1" s="1"/>
  <c r="N61" i="1"/>
  <c r="L63" i="1"/>
  <c r="R67" i="1"/>
  <c r="R84" i="1" s="1"/>
  <c r="S68" i="1"/>
  <c r="K44" i="1"/>
  <c r="S44" i="1"/>
  <c r="I46" i="1"/>
  <c r="AB7" i="1" s="1"/>
  <c r="Q46" i="1"/>
  <c r="R48" i="1"/>
  <c r="P49" i="1"/>
  <c r="O50" i="1"/>
  <c r="O84" i="1" s="1"/>
  <c r="M63" i="1"/>
  <c r="AH6" i="1"/>
  <c r="M43" i="1"/>
  <c r="K45" i="1"/>
  <c r="S45" i="1"/>
  <c r="S48" i="1"/>
  <c r="Q49" i="1"/>
  <c r="N63" i="1"/>
  <c r="O65" i="1"/>
  <c r="M66" i="1"/>
  <c r="L48" i="1"/>
  <c r="AE7" i="1" s="1"/>
  <c r="P47" i="1"/>
  <c r="S49" i="1"/>
  <c r="N79" i="1" l="1"/>
  <c r="N78" i="1"/>
  <c r="O79" i="1"/>
  <c r="N82" i="1"/>
  <c r="M79" i="1"/>
  <c r="M78" i="1"/>
  <c r="P82" i="1"/>
  <c r="Q81" i="1"/>
  <c r="P77" i="1"/>
  <c r="H77" i="1"/>
  <c r="R78" i="1"/>
  <c r="M80" i="1"/>
  <c r="O83" i="1"/>
  <c r="R82" i="1"/>
  <c r="H78" i="1"/>
  <c r="R80" i="1"/>
  <c r="P80" i="1"/>
  <c r="P83" i="1"/>
  <c r="O78" i="1"/>
  <c r="N77" i="1"/>
  <c r="Q82" i="1"/>
  <c r="P78" i="1"/>
  <c r="K81" i="1"/>
  <c r="AD9" i="1" s="1"/>
  <c r="N81" i="1"/>
  <c r="O77" i="1"/>
  <c r="J77" i="1"/>
  <c r="G76" i="1"/>
  <c r="J78" i="1"/>
  <c r="O80" i="1"/>
  <c r="G77" i="1"/>
  <c r="L78" i="1"/>
  <c r="R81" i="1"/>
  <c r="Q78" i="1"/>
  <c r="M81" i="1"/>
  <c r="J79" i="1"/>
  <c r="L79" i="1"/>
  <c r="G80" i="1"/>
  <c r="Z9" i="1" s="1"/>
  <c r="Z10" i="1" s="1"/>
  <c r="Z11" i="1" s="1"/>
  <c r="N80" i="1"/>
  <c r="R79" i="1"/>
  <c r="L80" i="1"/>
  <c r="R77" i="1"/>
  <c r="P79" i="1"/>
  <c r="H79" i="1"/>
  <c r="O81" i="1"/>
  <c r="P81" i="1"/>
  <c r="I78" i="1"/>
  <c r="I79" i="1"/>
  <c r="L77" i="1"/>
  <c r="O82" i="1"/>
  <c r="R83" i="1"/>
  <c r="H80" i="1"/>
  <c r="AA9" i="1" s="1"/>
  <c r="M77" i="1"/>
  <c r="K79" i="1"/>
  <c r="S85" i="1"/>
  <c r="AL9" i="1" s="1"/>
  <c r="AL8" i="1"/>
  <c r="T85" i="1"/>
  <c r="AM9" i="1" s="1"/>
  <c r="AM8" i="1"/>
  <c r="Q77" i="1"/>
  <c r="T12" i="1"/>
  <c r="T66" i="1"/>
  <c r="S66" i="1"/>
  <c r="S83" i="1" s="1"/>
  <c r="T49" i="1"/>
  <c r="AF8" i="1"/>
  <c r="M83" i="1"/>
  <c r="AF9" i="1" s="1"/>
  <c r="H42" i="1"/>
  <c r="H76" i="1" s="1"/>
  <c r="H41" i="1"/>
  <c r="AA18" i="1" s="1"/>
  <c r="I5" i="1"/>
  <c r="G58" i="1"/>
  <c r="AA17" i="1"/>
  <c r="I77" i="1"/>
  <c r="K78" i="1"/>
  <c r="I80" i="1"/>
  <c r="AB9" i="1" s="1"/>
  <c r="L82" i="1"/>
  <c r="AE9" i="1" s="1"/>
  <c r="AE8" i="1"/>
  <c r="J80" i="1"/>
  <c r="AC9" i="1" s="1"/>
  <c r="T84" i="1"/>
  <c r="Q80" i="1"/>
  <c r="Q83" i="1"/>
  <c r="Q79" i="1"/>
  <c r="K77" i="1"/>
  <c r="R85" i="1"/>
  <c r="AK9" i="1" s="1"/>
  <c r="AK8" i="1"/>
  <c r="N84" i="1"/>
  <c r="AG9" i="1" s="1"/>
  <c r="AA10" i="1" l="1"/>
  <c r="AB10" i="1" s="1"/>
  <c r="I41" i="1"/>
  <c r="AB18" i="1" s="1"/>
  <c r="J5" i="1"/>
  <c r="AB17" i="1"/>
  <c r="I42" i="1"/>
  <c r="I76" i="1" s="1"/>
  <c r="H58" i="1"/>
  <c r="T48" i="1"/>
  <c r="T11" i="1"/>
  <c r="S65" i="1"/>
  <c r="S82" i="1" s="1"/>
  <c r="T65" i="1"/>
  <c r="Z19" i="1"/>
  <c r="G75" i="1"/>
  <c r="Z20" i="1" s="1"/>
  <c r="Z21" i="1" s="1"/>
  <c r="T83" i="1"/>
  <c r="AA11" i="1" l="1"/>
  <c r="T64" i="1"/>
  <c r="S64" i="1"/>
  <c r="S81" i="1" s="1"/>
  <c r="T47" i="1"/>
  <c r="T10" i="1"/>
  <c r="Z22" i="1"/>
  <c r="H75" i="1"/>
  <c r="AA20" i="1" s="1"/>
  <c r="AA21" i="1" s="1"/>
  <c r="AA19" i="1"/>
  <c r="AB11" i="1"/>
  <c r="AC10" i="1"/>
  <c r="K5" i="1"/>
  <c r="AC17" i="1"/>
  <c r="I58" i="1"/>
  <c r="J42" i="1"/>
  <c r="J76" i="1" s="1"/>
  <c r="J41" i="1"/>
  <c r="AC18" i="1" s="1"/>
  <c r="T82" i="1"/>
  <c r="AA22" i="1" l="1"/>
  <c r="I75" i="1"/>
  <c r="AB20" i="1" s="1"/>
  <c r="AB21" i="1" s="1"/>
  <c r="AB19" i="1"/>
  <c r="T46" i="1"/>
  <c r="T63" i="1"/>
  <c r="T80" i="1" s="1"/>
  <c r="S63" i="1"/>
  <c r="S80" i="1" s="1"/>
  <c r="T9" i="1"/>
  <c r="AD17" i="1"/>
  <c r="J58" i="1"/>
  <c r="K41" i="1"/>
  <c r="AD18" i="1" s="1"/>
  <c r="L5" i="1"/>
  <c r="K42" i="1"/>
  <c r="K76" i="1" s="1"/>
  <c r="AC11" i="1"/>
  <c r="AD10" i="1"/>
  <c r="T81" i="1"/>
  <c r="AB22" i="1" l="1"/>
  <c r="AD11" i="1"/>
  <c r="AE10" i="1"/>
  <c r="AC19" i="1"/>
  <c r="J75" i="1"/>
  <c r="AC20" i="1" s="1"/>
  <c r="AC21" i="1" s="1"/>
  <c r="T45" i="1"/>
  <c r="S62" i="1"/>
  <c r="S79" i="1" s="1"/>
  <c r="T8" i="1"/>
  <c r="T62" i="1"/>
  <c r="AE17" i="1"/>
  <c r="K58" i="1"/>
  <c r="L42" i="1"/>
  <c r="L76" i="1" s="1"/>
  <c r="M5" i="1"/>
  <c r="L41" i="1"/>
  <c r="AE18" i="1" s="1"/>
  <c r="AC22" i="1" l="1"/>
  <c r="AF17" i="1"/>
  <c r="L58" i="1"/>
  <c r="M42" i="1"/>
  <c r="M76" i="1" s="1"/>
  <c r="M41" i="1"/>
  <c r="AF18" i="1" s="1"/>
  <c r="N5" i="1"/>
  <c r="AE11" i="1"/>
  <c r="AF10" i="1"/>
  <c r="AD19" i="1"/>
  <c r="K75" i="1"/>
  <c r="AD20" i="1" s="1"/>
  <c r="AD21" i="1" s="1"/>
  <c r="T79" i="1"/>
  <c r="T44" i="1"/>
  <c r="T61" i="1"/>
  <c r="T78" i="1" s="1"/>
  <c r="T7" i="1"/>
  <c r="S61" i="1"/>
  <c r="S78" i="1" s="1"/>
  <c r="S60" i="1" l="1"/>
  <c r="S77" i="1" s="1"/>
  <c r="T43" i="1"/>
  <c r="T60" i="1"/>
  <c r="T77" i="1" s="1"/>
  <c r="T6" i="1"/>
  <c r="AE19" i="1"/>
  <c r="L75" i="1"/>
  <c r="AE20" i="1" s="1"/>
  <c r="AE21" i="1" s="1"/>
  <c r="AD22" i="1"/>
  <c r="M58" i="1"/>
  <c r="N42" i="1"/>
  <c r="N76" i="1" s="1"/>
  <c r="N41" i="1"/>
  <c r="AG18" i="1" s="1"/>
  <c r="O5" i="1"/>
  <c r="AG17" i="1"/>
  <c r="AF11" i="1"/>
  <c r="AG10" i="1"/>
  <c r="AE22" i="1" l="1"/>
  <c r="AG11" i="1"/>
  <c r="AH10" i="1"/>
  <c r="O42" i="1"/>
  <c r="O76" i="1" s="1"/>
  <c r="P5" i="1"/>
  <c r="O41" i="1"/>
  <c r="AH18" i="1" s="1"/>
  <c r="AH17" i="1"/>
  <c r="N58" i="1"/>
  <c r="T59" i="1"/>
  <c r="S59" i="1"/>
  <c r="T42" i="1"/>
  <c r="T5" i="1"/>
  <c r="AF19" i="1"/>
  <c r="M75" i="1"/>
  <c r="AF20" i="1" s="1"/>
  <c r="AF21" i="1" s="1"/>
  <c r="AF22" i="1" l="1"/>
  <c r="P42" i="1"/>
  <c r="P76" i="1" s="1"/>
  <c r="P41" i="1"/>
  <c r="AI18" i="1" s="1"/>
  <c r="Q5" i="1"/>
  <c r="O58" i="1"/>
  <c r="AI17" i="1"/>
  <c r="AM17" i="1"/>
  <c r="T41" i="1"/>
  <c r="AM18" i="1" s="1"/>
  <c r="T76" i="1"/>
  <c r="AI10" i="1"/>
  <c r="AH11" i="1"/>
  <c r="AG19" i="1"/>
  <c r="N75" i="1"/>
  <c r="AG20" i="1" s="1"/>
  <c r="AG21" i="1" s="1"/>
  <c r="AG22" i="1" l="1"/>
  <c r="AJ10" i="1"/>
  <c r="AI11" i="1"/>
  <c r="AH19" i="1"/>
  <c r="O75" i="1"/>
  <c r="AH20" i="1" s="1"/>
  <c r="AH21" i="1" s="1"/>
  <c r="Q41" i="1"/>
  <c r="AJ18" i="1" s="1"/>
  <c r="R5" i="1"/>
  <c r="AJ17" i="1"/>
  <c r="P58" i="1"/>
  <c r="Q42" i="1"/>
  <c r="Q76" i="1" s="1"/>
  <c r="AH22" i="1" l="1"/>
  <c r="S5" i="1"/>
  <c r="AK17" i="1"/>
  <c r="Q58" i="1"/>
  <c r="R42" i="1"/>
  <c r="R76" i="1" s="1"/>
  <c r="R41" i="1"/>
  <c r="AK18" i="1" s="1"/>
  <c r="S58" i="1"/>
  <c r="AJ11" i="1"/>
  <c r="AK10" i="1"/>
  <c r="P75" i="1"/>
  <c r="AI20" i="1" s="1"/>
  <c r="AI21" i="1" s="1"/>
  <c r="AI19" i="1"/>
  <c r="AI22" i="1" l="1"/>
  <c r="Q75" i="1"/>
  <c r="AJ20" i="1" s="1"/>
  <c r="AJ21" i="1" s="1"/>
  <c r="AJ19" i="1"/>
  <c r="AL17" i="1"/>
  <c r="R58" i="1"/>
  <c r="S41" i="1"/>
  <c r="AL18" i="1" s="1"/>
  <c r="S42" i="1"/>
  <c r="S76" i="1" s="1"/>
  <c r="T58" i="1"/>
  <c r="AK11" i="1"/>
  <c r="AL10" i="1"/>
  <c r="AL19" i="1"/>
  <c r="AJ22" i="1" l="1"/>
  <c r="R75" i="1"/>
  <c r="AK20" i="1" s="1"/>
  <c r="AK21" i="1" s="1"/>
  <c r="AK19" i="1"/>
  <c r="S75" i="1"/>
  <c r="AL20" i="1" s="1"/>
  <c r="AL11" i="1"/>
  <c r="AM10" i="1"/>
  <c r="AM11" i="1" s="1"/>
  <c r="AM19" i="1"/>
  <c r="T75" i="1"/>
  <c r="AM20" i="1" s="1"/>
  <c r="AK22" i="1" l="1"/>
  <c r="AL21" i="1"/>
  <c r="AL22" i="1" l="1"/>
  <c r="AM21" i="1"/>
  <c r="AM22" i="1" s="1"/>
</calcChain>
</file>

<file path=xl/sharedStrings.xml><?xml version="1.0" encoding="utf-8"?>
<sst xmlns="http://schemas.openxmlformats.org/spreadsheetml/2006/main" count="34" uniqueCount="20">
  <si>
    <t>dx=dy</t>
  </si>
  <si>
    <t>ψ</t>
  </si>
  <si>
    <t>Нижн. Граница</t>
  </si>
  <si>
    <t>Vвходная</t>
  </si>
  <si>
    <t>x</t>
  </si>
  <si>
    <t>pвыходная</t>
  </si>
  <si>
    <t>y</t>
  </si>
  <si>
    <t>Vвыходная</t>
  </si>
  <si>
    <t>U</t>
  </si>
  <si>
    <t>n_iter</t>
  </si>
  <si>
    <t>V</t>
  </si>
  <si>
    <t>Абс.скор.</t>
  </si>
  <si>
    <t>N_L</t>
  </si>
  <si>
    <t>p</t>
  </si>
  <si>
    <t>N_H</t>
  </si>
  <si>
    <t>Cp</t>
  </si>
  <si>
    <t>start_Row</t>
  </si>
  <si>
    <t>start_Column</t>
  </si>
  <si>
    <t>Верхн. Граница</t>
  </si>
  <si>
    <t>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</si>
</sst>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0" fillId="3" borderId="1" xfId="0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0" xfId="0" applyFill="1"/>
    <xf numFmtId="0" fontId="0" fillId="2" borderId="5" xfId="0" applyFill="1" applyBorder="1"/>
    <xf numFmtId="0" fontId="0" fillId="3" borderId="1" xfId="0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/>
    <xf numFmtId="0" fontId="3" fillId="0" borderId="0" xfId="0" applyFont="1"/>
    <xf numFmtId="0" fontId="0" fillId="2" borderId="4" xfId="0" applyFill="1" applyBorder="1"/>
    <xf numFmtId="0" fontId="0" fillId="2" borderId="7" xfId="0" applyFill="1" applyBorder="1"/>
    <xf numFmtId="2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17168725468949"/>
          <c:y val="0.10331553059888962"/>
          <c:w val="0.55009031410191789"/>
          <c:h val="0.77549583781920017"/>
        </c:manualLayout>
      </c:layout>
      <c:scatterChart>
        <c:scatterStyle val="smoothMarker"/>
        <c:varyColors val="0"/>
        <c:ser>
          <c:idx val="0"/>
          <c:order val="0"/>
          <c:tx>
            <c:v> Верхняя граница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'[1]Потенциальное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'[1]Потенциальное течение'!$Y$22:$AM$22</c:f>
              <c:numCache>
                <c:formatCode>0.000</c:formatCode>
                <c:ptCount val="15"/>
                <c:pt idx="0">
                  <c:v>0</c:v>
                </c:pt>
                <c:pt idx="1">
                  <c:v>1.5913965521031061E-2</c:v>
                </c:pt>
                <c:pt idx="2">
                  <c:v>3.8440434802323578E-2</c:v>
                </c:pt>
                <c:pt idx="3">
                  <c:v>7.425172896910226E-2</c:v>
                </c:pt>
                <c:pt idx="4">
                  <c:v>0.12874890615377807</c:v>
                </c:pt>
                <c:pt idx="5">
                  <c:v>0.20080172718473477</c:v>
                </c:pt>
                <c:pt idx="6">
                  <c:v>0.27941151276696474</c:v>
                </c:pt>
                <c:pt idx="7">
                  <c:v>0.35500759609945814</c:v>
                </c:pt>
                <c:pt idx="8">
                  <c:v>0.42440485299710418</c:v>
                </c:pt>
                <c:pt idx="9">
                  <c:v>0.48734697696258084</c:v>
                </c:pt>
                <c:pt idx="10">
                  <c:v>0.5458270968138822</c:v>
                </c:pt>
                <c:pt idx="11">
                  <c:v>0.60086852401262147</c:v>
                </c:pt>
                <c:pt idx="12">
                  <c:v>0.65349526465666719</c:v>
                </c:pt>
                <c:pt idx="13">
                  <c:v>0.7033546843664954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2B-4ADE-9BC0-9DEC9E4D970A}"/>
            </c:ext>
          </c:extLst>
        </c:ser>
        <c:ser>
          <c:idx val="1"/>
          <c:order val="1"/>
          <c:tx>
            <c:v>Нижняя граница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'[1]Потенциальное течение'!$Y$15:$AM$15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'[1]Потенциальное течение'!$Y$11:$AM$11</c:f>
              <c:numCache>
                <c:formatCode>0.000</c:formatCode>
                <c:ptCount val="15"/>
                <c:pt idx="0">
                  <c:v>0</c:v>
                </c:pt>
                <c:pt idx="1">
                  <c:v>-2.2251059327390976E-2</c:v>
                </c:pt>
                <c:pt idx="2">
                  <c:v>-6.0867943618795835E-2</c:v>
                </c:pt>
                <c:pt idx="3">
                  <c:v>-0.14828360639192398</c:v>
                </c:pt>
                <c:pt idx="4">
                  <c:v>-0.47436810994026019</c:v>
                </c:pt>
                <c:pt idx="5">
                  <c:v>0.41789295021793804</c:v>
                </c:pt>
                <c:pt idx="6">
                  <c:v>0.67931243536440888</c:v>
                </c:pt>
                <c:pt idx="7">
                  <c:v>0.80843952260154761</c:v>
                </c:pt>
                <c:pt idx="8">
                  <c:v>0.89347596157807851</c:v>
                </c:pt>
                <c:pt idx="9">
                  <c:v>0.96523272628692214</c:v>
                </c:pt>
                <c:pt idx="10">
                  <c:v>0.9188212630423368</c:v>
                </c:pt>
                <c:pt idx="11">
                  <c:v>0.87683554336399538</c:v>
                </c:pt>
                <c:pt idx="12">
                  <c:v>0.83643014738132482</c:v>
                </c:pt>
                <c:pt idx="13">
                  <c:v>0.79478409042407294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2B-4ADE-9BC0-9DEC9E4D9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24192"/>
        <c:axId val="1816728768"/>
      </c:scatterChart>
      <c:valAx>
        <c:axId val="1816724192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x,</a:t>
                </a:r>
                <a:r>
                  <a:rPr lang="en-US" sz="1200" baseline="0"/>
                  <a:t> </a:t>
                </a:r>
                <a:r>
                  <a:rPr lang="ru-RU" sz="1200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8207785904429084"/>
              <c:y val="0.574968651706740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8768"/>
        <c:crosses val="autoZero"/>
        <c:crossBetween val="midCat"/>
        <c:majorUnit val="0.2"/>
      </c:valAx>
      <c:valAx>
        <c:axId val="181672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Ср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038193269937986"/>
              <c:y val="3.537072611231906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672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60960</xdr:rowOff>
        </xdr:from>
        <xdr:to>
          <xdr:col>2</xdr:col>
          <xdr:colOff>144780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129540</xdr:rowOff>
        </xdr:from>
        <xdr:to>
          <xdr:col>2</xdr:col>
          <xdr:colOff>144780</xdr:colOff>
          <xdr:row>19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Занулить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447674</xdr:colOff>
      <xdr:row>22</xdr:row>
      <xdr:rowOff>114299</xdr:rowOff>
    </xdr:from>
    <xdr:to>
      <xdr:col>34</xdr:col>
      <xdr:colOff>9524</xdr:colOff>
      <xdr:row>41</xdr:row>
      <xdr:rowOff>47624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sha/Downloads/Prkt2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тенциальное течение"/>
      <sheetName val="Лист1"/>
      <sheetName val="2Д Неявный"/>
      <sheetName val="Неявный"/>
      <sheetName val="Явный"/>
    </sheetNames>
    <sheetDataSet>
      <sheetData sheetId="0">
        <row r="11">
          <cell r="Y11">
            <v>0</v>
          </cell>
          <cell r="Z11">
            <v>-2.2251059327390976E-2</v>
          </cell>
          <cell r="AA11">
            <v>-6.0867943618795835E-2</v>
          </cell>
          <cell r="AB11">
            <v>-0.14828360639192398</v>
          </cell>
          <cell r="AC11">
            <v>-0.47436810994026019</v>
          </cell>
          <cell r="AD11">
            <v>0.41789295021793804</v>
          </cell>
          <cell r="AE11">
            <v>0.67931243536440888</v>
          </cell>
          <cell r="AF11">
            <v>0.80843952260154761</v>
          </cell>
          <cell r="AG11">
            <v>0.89347596157807851</v>
          </cell>
          <cell r="AH11">
            <v>0.96523272628692214</v>
          </cell>
          <cell r="AI11">
            <v>0.9188212630423368</v>
          </cell>
          <cell r="AJ11">
            <v>0.87683554336399538</v>
          </cell>
          <cell r="AK11">
            <v>0.83643014738132482</v>
          </cell>
          <cell r="AL11">
            <v>0.79478409042407294</v>
          </cell>
          <cell r="AM11">
            <v>0.75</v>
          </cell>
        </row>
        <row r="15">
          <cell r="Y15">
            <v>0</v>
          </cell>
          <cell r="Z15">
            <v>0.2</v>
          </cell>
          <cell r="AA15">
            <v>0.4</v>
          </cell>
          <cell r="AB15">
            <v>0.60000000000000009</v>
          </cell>
          <cell r="AC15">
            <v>0.8</v>
          </cell>
          <cell r="AD15">
            <v>1</v>
          </cell>
          <cell r="AE15">
            <v>1.2000000000000002</v>
          </cell>
          <cell r="AF15">
            <v>1.4000000000000001</v>
          </cell>
          <cell r="AG15">
            <v>1.6</v>
          </cell>
          <cell r="AH15">
            <v>1.8</v>
          </cell>
          <cell r="AI15">
            <v>2</v>
          </cell>
          <cell r="AJ15">
            <v>2.2000000000000002</v>
          </cell>
          <cell r="AK15">
            <v>2.4000000000000004</v>
          </cell>
          <cell r="AL15">
            <v>2.6</v>
          </cell>
          <cell r="AM15">
            <v>2.8000000000000003</v>
          </cell>
        </row>
        <row r="22">
          <cell r="Y22">
            <v>0</v>
          </cell>
          <cell r="Z22">
            <v>1.5913965521031061E-2</v>
          </cell>
          <cell r="AA22">
            <v>3.8440434802323578E-2</v>
          </cell>
          <cell r="AB22">
            <v>7.425172896910226E-2</v>
          </cell>
          <cell r="AC22">
            <v>0.12874890615377807</v>
          </cell>
          <cell r="AD22">
            <v>0.20080172718473477</v>
          </cell>
          <cell r="AE22">
            <v>0.27941151276696474</v>
          </cell>
          <cell r="AF22">
            <v>0.35500759609945814</v>
          </cell>
          <cell r="AG22">
            <v>0.42440485299710418</v>
          </cell>
          <cell r="AH22">
            <v>0.48734697696258084</v>
          </cell>
          <cell r="AI22">
            <v>0.5458270968138822</v>
          </cell>
          <cell r="AJ22">
            <v>0.60086852401262147</v>
          </cell>
          <cell r="AK22">
            <v>0.65349526465666719</v>
          </cell>
          <cell r="AL22">
            <v>0.7033546843664954</v>
          </cell>
          <cell r="AM22">
            <v>0.75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M87"/>
  <sheetViews>
    <sheetView tabSelected="1" workbookViewId="0">
      <selection activeCell="G20" sqref="G20"/>
    </sheetView>
  </sheetViews>
  <sheetFormatPr defaultRowHeight="14.4" x14ac:dyDescent="0.3"/>
  <sheetData>
    <row r="2" spans="1:39" x14ac:dyDescent="0.3">
      <c r="A2" s="1" t="s">
        <v>0</v>
      </c>
      <c r="B2" s="2">
        <v>0.2</v>
      </c>
    </row>
    <row r="3" spans="1:39" x14ac:dyDescent="0.3">
      <c r="A3" s="1"/>
      <c r="B3" s="2"/>
      <c r="D3" s="3" t="s">
        <v>1</v>
      </c>
      <c r="E3" s="4"/>
      <c r="F3" s="5">
        <v>1</v>
      </c>
      <c r="G3" s="5">
        <v>2</v>
      </c>
      <c r="H3" s="5">
        <v>3</v>
      </c>
      <c r="I3" s="5">
        <v>4</v>
      </c>
      <c r="J3" s="5">
        <v>5</v>
      </c>
      <c r="K3" s="5">
        <v>6</v>
      </c>
      <c r="L3" s="5">
        <v>7</v>
      </c>
      <c r="M3" s="5">
        <v>8</v>
      </c>
      <c r="N3" s="5">
        <v>9</v>
      </c>
      <c r="O3" s="5">
        <v>10</v>
      </c>
      <c r="P3" s="5">
        <v>11</v>
      </c>
      <c r="Q3" s="5">
        <v>12</v>
      </c>
      <c r="R3" s="5">
        <v>13</v>
      </c>
      <c r="S3" s="5">
        <v>14</v>
      </c>
      <c r="T3" s="5">
        <v>15</v>
      </c>
      <c r="U3" s="6"/>
      <c r="V3" s="7"/>
      <c r="X3" s="1" t="s">
        <v>2</v>
      </c>
      <c r="Y3" s="8">
        <v>1</v>
      </c>
      <c r="Z3" s="8">
        <v>2</v>
      </c>
      <c r="AA3" s="8">
        <v>3</v>
      </c>
      <c r="AB3" s="8">
        <v>4</v>
      </c>
      <c r="AC3" s="8">
        <v>5</v>
      </c>
      <c r="AD3" s="8">
        <v>6</v>
      </c>
      <c r="AE3" s="8">
        <v>7</v>
      </c>
      <c r="AF3" s="8">
        <v>8</v>
      </c>
      <c r="AG3" s="8">
        <v>9</v>
      </c>
      <c r="AH3" s="8">
        <v>10</v>
      </c>
      <c r="AI3" s="8">
        <v>11</v>
      </c>
      <c r="AJ3" s="8">
        <v>12</v>
      </c>
      <c r="AK3" s="8">
        <v>13</v>
      </c>
      <c r="AL3" s="8">
        <v>14</v>
      </c>
      <c r="AM3" s="8">
        <v>15</v>
      </c>
    </row>
    <row r="4" spans="1:39" x14ac:dyDescent="0.3">
      <c r="A4" s="1" t="s">
        <v>3</v>
      </c>
      <c r="B4" s="2">
        <v>10</v>
      </c>
      <c r="D4" s="9"/>
      <c r="E4" s="10"/>
      <c r="F4" s="11">
        <f>$B$2*(F3-1)</f>
        <v>0</v>
      </c>
      <c r="G4" s="11">
        <f t="shared" ref="G4:T4" si="0">$B$2*(G3-1)</f>
        <v>0.2</v>
      </c>
      <c r="H4" s="11">
        <f t="shared" si="0"/>
        <v>0.4</v>
      </c>
      <c r="I4" s="11">
        <f t="shared" si="0"/>
        <v>0.60000000000000009</v>
      </c>
      <c r="J4" s="11">
        <f t="shared" si="0"/>
        <v>0.8</v>
      </c>
      <c r="K4" s="11">
        <f t="shared" si="0"/>
        <v>1</v>
      </c>
      <c r="L4" s="11">
        <f t="shared" si="0"/>
        <v>1.2000000000000002</v>
      </c>
      <c r="M4" s="11">
        <f t="shared" si="0"/>
        <v>1.4000000000000001</v>
      </c>
      <c r="N4" s="11">
        <f t="shared" si="0"/>
        <v>1.6</v>
      </c>
      <c r="O4" s="11">
        <f t="shared" si="0"/>
        <v>1.8</v>
      </c>
      <c r="P4" s="11">
        <f t="shared" si="0"/>
        <v>2</v>
      </c>
      <c r="Q4" s="11">
        <f t="shared" si="0"/>
        <v>2.2000000000000002</v>
      </c>
      <c r="R4" s="11">
        <f t="shared" si="0"/>
        <v>2.4000000000000004</v>
      </c>
      <c r="S4" s="11">
        <f t="shared" si="0"/>
        <v>2.6</v>
      </c>
      <c r="T4" s="11">
        <f t="shared" si="0"/>
        <v>2.8000000000000003</v>
      </c>
      <c r="U4" s="12"/>
      <c r="V4" s="13"/>
      <c r="X4" s="14" t="s">
        <v>4</v>
      </c>
      <c r="Y4" s="15">
        <f>$B$2*(Y3-1)</f>
        <v>0</v>
      </c>
      <c r="Z4" s="16">
        <f t="shared" ref="Z4:AM4" si="1">$B$2*(Z3-1)</f>
        <v>0.2</v>
      </c>
      <c r="AA4" s="16">
        <f t="shared" si="1"/>
        <v>0.4</v>
      </c>
      <c r="AB4" s="16">
        <f t="shared" si="1"/>
        <v>0.60000000000000009</v>
      </c>
      <c r="AC4" s="16">
        <f t="shared" si="1"/>
        <v>0.8</v>
      </c>
      <c r="AD4" s="16">
        <f t="shared" si="1"/>
        <v>1</v>
      </c>
      <c r="AE4" s="16">
        <f t="shared" si="1"/>
        <v>1.2000000000000002</v>
      </c>
      <c r="AF4" s="16">
        <f t="shared" si="1"/>
        <v>1.4000000000000001</v>
      </c>
      <c r="AG4" s="16">
        <f t="shared" si="1"/>
        <v>1.6</v>
      </c>
      <c r="AH4" s="16">
        <f t="shared" si="1"/>
        <v>1.8</v>
      </c>
      <c r="AI4" s="16">
        <f t="shared" si="1"/>
        <v>2</v>
      </c>
      <c r="AJ4" s="16">
        <f t="shared" si="1"/>
        <v>2.2000000000000002</v>
      </c>
      <c r="AK4" s="16">
        <f t="shared" si="1"/>
        <v>2.4000000000000004</v>
      </c>
      <c r="AL4" s="16">
        <f t="shared" si="1"/>
        <v>2.6</v>
      </c>
      <c r="AM4" s="16">
        <f t="shared" si="1"/>
        <v>2.8000000000000003</v>
      </c>
    </row>
    <row r="5" spans="1:39" x14ac:dyDescent="0.3">
      <c r="A5" s="1" t="s">
        <v>5</v>
      </c>
      <c r="B5" s="2">
        <v>101325</v>
      </c>
      <c r="D5" s="17">
        <v>11</v>
      </c>
      <c r="E5" s="18">
        <f t="shared" ref="E5:E13" si="2">$B$2*(D5-1)</f>
        <v>2</v>
      </c>
      <c r="F5" s="19">
        <f t="shared" ref="F5:F8" si="3">F6+$B$4*$B$2</f>
        <v>10</v>
      </c>
      <c r="G5" s="19">
        <f>F5</f>
        <v>10</v>
      </c>
      <c r="H5" s="19">
        <f t="shared" ref="H5:S5" si="4">G5</f>
        <v>10</v>
      </c>
      <c r="I5" s="19">
        <f t="shared" si="4"/>
        <v>10</v>
      </c>
      <c r="J5" s="19">
        <f t="shared" si="4"/>
        <v>10</v>
      </c>
      <c r="K5" s="19">
        <f t="shared" si="4"/>
        <v>10</v>
      </c>
      <c r="L5" s="19">
        <f t="shared" si="4"/>
        <v>10</v>
      </c>
      <c r="M5" s="19">
        <f t="shared" si="4"/>
        <v>10</v>
      </c>
      <c r="N5" s="19">
        <f t="shared" si="4"/>
        <v>10</v>
      </c>
      <c r="O5" s="19">
        <f t="shared" si="4"/>
        <v>10</v>
      </c>
      <c r="P5" s="19">
        <f t="shared" si="4"/>
        <v>10</v>
      </c>
      <c r="Q5" s="19">
        <f t="shared" si="4"/>
        <v>10</v>
      </c>
      <c r="R5" s="19">
        <f t="shared" si="4"/>
        <v>10</v>
      </c>
      <c r="S5" s="19">
        <f t="shared" si="4"/>
        <v>10</v>
      </c>
      <c r="T5" s="19">
        <f t="shared" ref="T5:T13" si="5">T6+$B$6*$B$2</f>
        <v>10</v>
      </c>
      <c r="U5" s="18">
        <f t="shared" ref="U5:U13" si="6">$B$2*(V5-1)</f>
        <v>2</v>
      </c>
      <c r="V5" s="5">
        <v>11</v>
      </c>
      <c r="X5" s="14" t="s">
        <v>6</v>
      </c>
      <c r="Y5" s="5">
        <v>1</v>
      </c>
      <c r="Z5" s="5">
        <v>1</v>
      </c>
      <c r="AA5" s="5">
        <v>1</v>
      </c>
      <c r="AB5" s="5">
        <v>1</v>
      </c>
      <c r="AC5" s="5">
        <v>1</v>
      </c>
      <c r="AD5" s="5">
        <v>0.8</v>
      </c>
      <c r="AE5" s="5">
        <v>0.6</v>
      </c>
      <c r="AF5" s="5">
        <v>0.4</v>
      </c>
      <c r="AG5" s="5">
        <v>0.2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</row>
    <row r="6" spans="1:39" x14ac:dyDescent="0.3">
      <c r="A6" s="1" t="s">
        <v>7</v>
      </c>
      <c r="B6" s="2">
        <f>((E5-E10)*B4)/(U5-U15)</f>
        <v>5</v>
      </c>
      <c r="D6" s="17">
        <v>10</v>
      </c>
      <c r="E6" s="18">
        <f t="shared" si="2"/>
        <v>1.8</v>
      </c>
      <c r="F6" s="19">
        <f t="shared" si="3"/>
        <v>8</v>
      </c>
      <c r="G6" s="19">
        <f>0.25*(G25+H24+G23+F24)</f>
        <v>8.0283446531646483</v>
      </c>
      <c r="H6" s="19">
        <f t="shared" ref="H6:S6" si="7">0.25*(H25+I24+H23+G24)</f>
        <v>8.0648681697220326</v>
      </c>
      <c r="I6" s="19">
        <f t="shared" si="7"/>
        <v>8.1180730268911319</v>
      </c>
      <c r="J6" s="19">
        <f t="shared" si="7"/>
        <v>8.1952172080551282</v>
      </c>
      <c r="K6" s="19">
        <f t="shared" si="7"/>
        <v>8.2968869911273231</v>
      </c>
      <c r="L6" s="19">
        <f t="shared" si="7"/>
        <v>8.4102907499017761</v>
      </c>
      <c r="M6" s="19">
        <f t="shared" si="7"/>
        <v>8.5221491465483421</v>
      </c>
      <c r="N6" s="19">
        <f t="shared" si="7"/>
        <v>8.6241901989696075</v>
      </c>
      <c r="O6" s="19">
        <f t="shared" si="7"/>
        <v>8.7130064575002599</v>
      </c>
      <c r="P6" s="19">
        <f t="shared" si="7"/>
        <v>8.7884288839053557</v>
      </c>
      <c r="Q6" s="19">
        <f t="shared" si="7"/>
        <v>8.8521085529563805</v>
      </c>
      <c r="R6" s="19">
        <f t="shared" si="7"/>
        <v>8.9066038208258469</v>
      </c>
      <c r="S6" s="19">
        <f t="shared" si="7"/>
        <v>8.9548688203896667</v>
      </c>
      <c r="T6" s="19">
        <f t="shared" si="5"/>
        <v>9</v>
      </c>
      <c r="U6" s="18">
        <f t="shared" si="6"/>
        <v>1.8</v>
      </c>
      <c r="V6" s="5">
        <v>10</v>
      </c>
      <c r="X6" s="20" t="s">
        <v>1</v>
      </c>
      <c r="Y6" s="19">
        <f>F10</f>
        <v>0</v>
      </c>
      <c r="Z6" s="19">
        <f t="shared" ref="Z6:AC6" si="8">G10</f>
        <v>0</v>
      </c>
      <c r="AA6" s="19">
        <f t="shared" si="8"/>
        <v>0</v>
      </c>
      <c r="AB6" s="19">
        <f t="shared" si="8"/>
        <v>0</v>
      </c>
      <c r="AC6" s="19">
        <f t="shared" si="8"/>
        <v>0</v>
      </c>
      <c r="AD6" s="19">
        <f>K11</f>
        <v>0</v>
      </c>
      <c r="AE6" s="19">
        <f>L12</f>
        <v>0</v>
      </c>
      <c r="AF6" s="19">
        <f>M13</f>
        <v>0</v>
      </c>
      <c r="AG6" s="19">
        <f>N14</f>
        <v>0</v>
      </c>
      <c r="AH6" s="19">
        <f>O15</f>
        <v>0</v>
      </c>
      <c r="AI6" s="19">
        <f t="shared" ref="AI6:AM6" si="9">P15</f>
        <v>0</v>
      </c>
      <c r="AJ6" s="19">
        <f t="shared" si="9"/>
        <v>0</v>
      </c>
      <c r="AK6" s="19">
        <f t="shared" si="9"/>
        <v>0</v>
      </c>
      <c r="AL6" s="19">
        <f t="shared" si="9"/>
        <v>0</v>
      </c>
      <c r="AM6" s="19">
        <f t="shared" si="9"/>
        <v>0</v>
      </c>
    </row>
    <row r="7" spans="1:39" x14ac:dyDescent="0.3">
      <c r="A7" s="1"/>
      <c r="B7" s="2"/>
      <c r="D7" s="17">
        <v>9</v>
      </c>
      <c r="E7" s="18">
        <f t="shared" si="2"/>
        <v>1.6</v>
      </c>
      <c r="F7" s="19">
        <f t="shared" si="3"/>
        <v>6</v>
      </c>
      <c r="G7" s="19">
        <f t="shared" ref="G7:S14" si="10">0.25*(G26+H25+G24+F25)</f>
        <v>6.0485104430331962</v>
      </c>
      <c r="H7" s="19">
        <f t="shared" si="10"/>
        <v>6.1130549990457741</v>
      </c>
      <c r="I7" s="19">
        <f t="shared" si="10"/>
        <v>6.2122067301262707</v>
      </c>
      <c r="J7" s="19">
        <f t="shared" si="10"/>
        <v>6.3659088147248166</v>
      </c>
      <c r="K7" s="19">
        <f t="shared" si="10"/>
        <v>6.5820400072508818</v>
      </c>
      <c r="L7" s="19">
        <f t="shared" si="10"/>
        <v>6.822126862867151</v>
      </c>
      <c r="M7" s="19">
        <f t="shared" si="10"/>
        <v>7.0541156384049435</v>
      </c>
      <c r="N7" s="19">
        <f t="shared" si="10"/>
        <v>7.2616051930820511</v>
      </c>
      <c r="O7" s="19">
        <f t="shared" si="10"/>
        <v>7.4394067483717246</v>
      </c>
      <c r="P7" s="19">
        <f t="shared" si="10"/>
        <v>7.5886005263887952</v>
      </c>
      <c r="Q7" s="19">
        <f t="shared" si="10"/>
        <v>7.7134015080999818</v>
      </c>
      <c r="R7" s="19">
        <f t="shared" si="10"/>
        <v>7.8194379107178502</v>
      </c>
      <c r="S7" s="19">
        <f t="shared" si="10"/>
        <v>7.9128714611193107</v>
      </c>
      <c r="T7" s="19">
        <f t="shared" si="5"/>
        <v>8</v>
      </c>
      <c r="U7" s="18">
        <f t="shared" si="6"/>
        <v>1.6</v>
      </c>
      <c r="V7" s="5">
        <v>9</v>
      </c>
      <c r="X7" s="20" t="s">
        <v>8</v>
      </c>
      <c r="Y7" s="21">
        <f>F46</f>
        <v>10</v>
      </c>
      <c r="Z7" s="21">
        <f t="shared" ref="Z7:AC7" si="11">G46</f>
        <v>10.177116919193608</v>
      </c>
      <c r="AA7" s="21">
        <f t="shared" si="11"/>
        <v>10.445257076877605</v>
      </c>
      <c r="AB7" s="21">
        <f t="shared" si="11"/>
        <v>10.97073812125336</v>
      </c>
      <c r="AC7" s="21">
        <f t="shared" si="11"/>
        <v>12.178745008093182</v>
      </c>
      <c r="AD7" s="21">
        <f>K47</f>
        <v>6.6371162897719866</v>
      </c>
      <c r="AE7" s="21">
        <f>L48</f>
        <v>5.0084561056540799</v>
      </c>
      <c r="AF7" s="21">
        <f>M49</f>
        <v>3.9931586656229823</v>
      </c>
      <c r="AG7" s="21">
        <f>N50</f>
        <v>3.141698921806948</v>
      </c>
      <c r="AH7" s="21">
        <f>O51</f>
        <v>2.1832323780048326</v>
      </c>
      <c r="AI7" s="21">
        <f t="shared" ref="AI7:AM7" si="12">P51</f>
        <v>3.2800238835044002</v>
      </c>
      <c r="AJ7" s="21">
        <f t="shared" si="12"/>
        <v>3.9307645414238257</v>
      </c>
      <c r="AK7" s="21">
        <f t="shared" si="12"/>
        <v>4.3713259719022064</v>
      </c>
      <c r="AL7" s="21">
        <f t="shared" si="12"/>
        <v>4.707763818625569</v>
      </c>
      <c r="AM7" s="21">
        <f t="shared" si="12"/>
        <v>5</v>
      </c>
    </row>
    <row r="8" spans="1:39" x14ac:dyDescent="0.3">
      <c r="A8" s="1" t="s">
        <v>9</v>
      </c>
      <c r="B8" s="2">
        <v>300</v>
      </c>
      <c r="D8" s="17">
        <v>8</v>
      </c>
      <c r="E8" s="18">
        <f t="shared" si="2"/>
        <v>1.4000000000000001</v>
      </c>
      <c r="F8" s="19">
        <f t="shared" si="3"/>
        <v>4</v>
      </c>
      <c r="G8" s="19">
        <f t="shared" si="10"/>
        <v>4.0526421200878575</v>
      </c>
      <c r="H8" s="19">
        <f t="shared" si="10"/>
        <v>4.1266346536437739</v>
      </c>
      <c r="I8" s="19">
        <f t="shared" si="10"/>
        <v>4.2517900804360353</v>
      </c>
      <c r="J8" s="19">
        <f t="shared" si="10"/>
        <v>4.4741713143345399</v>
      </c>
      <c r="K8" s="19">
        <f t="shared" si="10"/>
        <v>4.8432373615645989</v>
      </c>
      <c r="L8" s="19">
        <f t="shared" si="10"/>
        <v>5.2420610575393063</v>
      </c>
      <c r="M8" s="19">
        <f t="shared" si="10"/>
        <v>5.6105813531806756</v>
      </c>
      <c r="N8" s="19">
        <f t="shared" si="10"/>
        <v>5.9287081888164153</v>
      </c>
      <c r="O8" s="19">
        <f t="shared" si="10"/>
        <v>6.194414818923855</v>
      </c>
      <c r="P8" s="19">
        <f t="shared" si="10"/>
        <v>6.4131649673871269</v>
      </c>
      <c r="Q8" s="19">
        <f t="shared" si="10"/>
        <v>6.5934590442956482</v>
      </c>
      <c r="R8" s="19">
        <f t="shared" si="10"/>
        <v>6.7448748542054231</v>
      </c>
      <c r="S8" s="19">
        <f t="shared" si="10"/>
        <v>6.877179114124667</v>
      </c>
      <c r="T8" s="19">
        <f t="shared" si="5"/>
        <v>7</v>
      </c>
      <c r="U8" s="18">
        <f t="shared" si="6"/>
        <v>1.4000000000000001</v>
      </c>
      <c r="V8" s="5">
        <v>8</v>
      </c>
      <c r="X8" s="20" t="s">
        <v>10</v>
      </c>
      <c r="Y8" s="21">
        <f>F63</f>
        <v>0</v>
      </c>
      <c r="Z8" s="21">
        <f t="shared" ref="Z8:AC8" si="13">G63</f>
        <v>0</v>
      </c>
      <c r="AA8" s="21">
        <f t="shared" si="13"/>
        <v>0</v>
      </c>
      <c r="AB8" s="21">
        <f t="shared" si="13"/>
        <v>0</v>
      </c>
      <c r="AC8" s="21">
        <f t="shared" si="13"/>
        <v>-3.3185581448859933</v>
      </c>
      <c r="AD8" s="21">
        <f>K64</f>
        <v>-5.0084561056540799</v>
      </c>
      <c r="AE8" s="21">
        <f>L65</f>
        <v>-3.9931586656229823</v>
      </c>
      <c r="AF8" s="21">
        <f>M66</f>
        <v>-3.141698921806948</v>
      </c>
      <c r="AG8" s="21">
        <f>N67</f>
        <v>-2.1832323780048326</v>
      </c>
      <c r="AH8" s="21">
        <f>O68</f>
        <v>0</v>
      </c>
      <c r="AI8" s="21">
        <f t="shared" ref="AI8:AM8" si="14">P68</f>
        <v>0</v>
      </c>
      <c r="AJ8" s="21">
        <f t="shared" si="14"/>
        <v>0</v>
      </c>
      <c r="AK8" s="21">
        <f t="shared" si="14"/>
        <v>0</v>
      </c>
      <c r="AL8" s="21">
        <f t="shared" si="14"/>
        <v>0</v>
      </c>
      <c r="AM8" s="21">
        <f t="shared" si="14"/>
        <v>0</v>
      </c>
    </row>
    <row r="9" spans="1:39" x14ac:dyDescent="0.3">
      <c r="A9" s="1"/>
      <c r="B9" s="2"/>
      <c r="D9" s="17">
        <v>7</v>
      </c>
      <c r="E9" s="18">
        <f t="shared" si="2"/>
        <v>1.2000000000000002</v>
      </c>
      <c r="F9" s="19">
        <f>F10+$B$4*$B$2</f>
        <v>2</v>
      </c>
      <c r="G9" s="19">
        <f t="shared" si="10"/>
        <v>2.0354233838387219</v>
      </c>
      <c r="H9" s="19">
        <f t="shared" si="10"/>
        <v>2.0890514153755211</v>
      </c>
      <c r="I9" s="19">
        <f t="shared" si="10"/>
        <v>2.1941476242506721</v>
      </c>
      <c r="J9" s="19">
        <f t="shared" si="10"/>
        <v>2.4357490016186367</v>
      </c>
      <c r="K9" s="19">
        <f t="shared" si="10"/>
        <v>3.0746770686049847</v>
      </c>
      <c r="L9" s="19">
        <f t="shared" si="10"/>
        <v>3.6922986546549841</v>
      </c>
      <c r="M9" s="19">
        <f t="shared" si="10"/>
        <v>4.217440530517286</v>
      </c>
      <c r="N9" s="19">
        <f t="shared" si="10"/>
        <v>4.648231393121975</v>
      </c>
      <c r="O9" s="19">
        <f t="shared" si="10"/>
        <v>4.996379374206005</v>
      </c>
      <c r="P9" s="19">
        <f t="shared" si="10"/>
        <v>5.2761854830110986</v>
      </c>
      <c r="Q9" s="19">
        <f t="shared" si="10"/>
        <v>5.5023948500339399</v>
      </c>
      <c r="R9" s="19">
        <f t="shared" si="10"/>
        <v>5.6894233496171118</v>
      </c>
      <c r="S9" s="19">
        <f t="shared" si="10"/>
        <v>5.8509701421593157</v>
      </c>
      <c r="T9" s="19">
        <f t="shared" si="5"/>
        <v>6</v>
      </c>
      <c r="U9" s="18">
        <f t="shared" si="6"/>
        <v>1.2000000000000002</v>
      </c>
      <c r="V9" s="5">
        <v>7</v>
      </c>
      <c r="X9" s="20" t="s">
        <v>11</v>
      </c>
      <c r="Y9" s="21">
        <f>F80</f>
        <v>10</v>
      </c>
      <c r="Z9" s="21">
        <f t="shared" ref="Z9:AC9" si="15">G80</f>
        <v>10.177116919193608</v>
      </c>
      <c r="AA9" s="21">
        <f t="shared" si="15"/>
        <v>10.445257076877605</v>
      </c>
      <c r="AB9" s="21">
        <f t="shared" si="15"/>
        <v>10.97073812125336</v>
      </c>
      <c r="AC9" s="21">
        <f t="shared" si="15"/>
        <v>12.622783295816488</v>
      </c>
      <c r="AD9" s="21">
        <f>K81</f>
        <v>8.314802776146907</v>
      </c>
      <c r="AE9" s="21">
        <f>L82</f>
        <v>6.4054624104043842</v>
      </c>
      <c r="AF9" s="21">
        <f>M83</f>
        <v>5.0809042742530446</v>
      </c>
      <c r="AG9" s="21">
        <f>N84</f>
        <v>3.8258039327246731</v>
      </c>
      <c r="AH9" s="21">
        <f>O85</f>
        <v>2.1832323780048326</v>
      </c>
      <c r="AI9" s="21">
        <f t="shared" ref="AI9:AL9" si="16">P85</f>
        <v>3.2800238835044002</v>
      </c>
      <c r="AJ9" s="21">
        <f t="shared" si="16"/>
        <v>3.9307645414238257</v>
      </c>
      <c r="AK9" s="21">
        <f t="shared" si="16"/>
        <v>4.3713259719022064</v>
      </c>
      <c r="AL9" s="21">
        <f t="shared" si="16"/>
        <v>4.707763818625569</v>
      </c>
      <c r="AM9" s="21">
        <f>T85</f>
        <v>5</v>
      </c>
    </row>
    <row r="10" spans="1:39" x14ac:dyDescent="0.3">
      <c r="A10" s="1" t="s">
        <v>12</v>
      </c>
      <c r="B10" s="2">
        <v>15</v>
      </c>
      <c r="D10" s="17">
        <v>6</v>
      </c>
      <c r="E10" s="18">
        <f t="shared" si="2"/>
        <v>1</v>
      </c>
      <c r="F10" s="19">
        <f>$B$14</f>
        <v>0</v>
      </c>
      <c r="G10" s="19">
        <f t="shared" ref="G10:T15" si="17">$B$14</f>
        <v>0</v>
      </c>
      <c r="H10" s="19">
        <f t="shared" si="17"/>
        <v>0</v>
      </c>
      <c r="I10" s="19">
        <f t="shared" si="17"/>
        <v>0</v>
      </c>
      <c r="J10" s="19">
        <f t="shared" si="17"/>
        <v>0</v>
      </c>
      <c r="K10" s="19">
        <f t="shared" si="10"/>
        <v>1.3274232579543974</v>
      </c>
      <c r="L10" s="19">
        <f t="shared" si="10"/>
        <v>2.235015963993026</v>
      </c>
      <c r="M10" s="19">
        <f t="shared" si="10"/>
        <v>2.918650723919324</v>
      </c>
      <c r="N10" s="19">
        <f t="shared" si="10"/>
        <v>3.4503974821609518</v>
      </c>
      <c r="O10" s="19">
        <f t="shared" si="10"/>
        <v>3.8666858053451323</v>
      </c>
      <c r="P10" s="19">
        <f t="shared" si="10"/>
        <v>4.1928027437689375</v>
      </c>
      <c r="Q10" s="19">
        <f t="shared" si="10"/>
        <v>4.4505115262234156</v>
      </c>
      <c r="R10" s="19">
        <f t="shared" si="10"/>
        <v>4.6594535542073796</v>
      </c>
      <c r="S10" s="19">
        <f t="shared" si="10"/>
        <v>4.837278106070702</v>
      </c>
      <c r="T10" s="19">
        <f t="shared" si="5"/>
        <v>5</v>
      </c>
      <c r="U10" s="18">
        <f t="shared" si="6"/>
        <v>1</v>
      </c>
      <c r="V10" s="5">
        <v>6</v>
      </c>
      <c r="X10" s="20" t="s">
        <v>13</v>
      </c>
      <c r="Y10" s="5">
        <f>B5</f>
        <v>101325</v>
      </c>
      <c r="Z10" s="5">
        <f>(Y10+(Y9^2)/2)-(Z9^2)/2</f>
        <v>101323.21314560653</v>
      </c>
      <c r="AA10" s="5">
        <f t="shared" ref="AA10:AM10" si="18">(Z10+(Z9^2)/2)-(AA9^2)/2</f>
        <v>101320.44830229897</v>
      </c>
      <c r="AB10" s="5">
        <f t="shared" si="18"/>
        <v>101314.82145253744</v>
      </c>
      <c r="AC10" s="5">
        <f t="shared" si="18"/>
        <v>101295.33267093342</v>
      </c>
      <c r="AD10" s="5">
        <f t="shared" si="18"/>
        <v>101340.43202739689</v>
      </c>
      <c r="AE10" s="5">
        <f t="shared" si="18"/>
        <v>101354.48502565445</v>
      </c>
      <c r="AF10" s="5">
        <f t="shared" si="18"/>
        <v>101362.09220587794</v>
      </c>
      <c r="AG10" s="5">
        <f t="shared" si="18"/>
        <v>101367.68161213417</v>
      </c>
      <c r="AH10" s="5">
        <f t="shared" si="18"/>
        <v>101372.61674819181</v>
      </c>
      <c r="AI10" s="5">
        <f t="shared" si="18"/>
        <v>101369.62072166182</v>
      </c>
      <c r="AJ10" s="5">
        <f t="shared" si="18"/>
        <v>101367.27454505995</v>
      </c>
      <c r="AK10" s="5">
        <f t="shared" si="18"/>
        <v>101365.44575462368</v>
      </c>
      <c r="AL10" s="5">
        <f t="shared" si="18"/>
        <v>101363.91847991402</v>
      </c>
      <c r="AM10" s="5">
        <f t="shared" si="18"/>
        <v>101362.5</v>
      </c>
    </row>
    <row r="11" spans="1:39" x14ac:dyDescent="0.3">
      <c r="A11" s="1" t="s">
        <v>14</v>
      </c>
      <c r="B11" s="2">
        <v>11</v>
      </c>
      <c r="D11" s="17">
        <v>5</v>
      </c>
      <c r="E11" s="18">
        <f t="shared" si="2"/>
        <v>0.8</v>
      </c>
      <c r="K11" s="19">
        <f t="shared" si="17"/>
        <v>0</v>
      </c>
      <c r="L11" s="19">
        <f>0.25*(L30+M29+L28+K29)</f>
        <v>1.001691221130816</v>
      </c>
      <c r="M11" s="19">
        <f t="shared" si="10"/>
        <v>1.7717489214350763</v>
      </c>
      <c r="N11" s="19">
        <f t="shared" si="10"/>
        <v>2.3680220094260953</v>
      </c>
      <c r="O11" s="19">
        <f t="shared" si="10"/>
        <v>2.8271636246328455</v>
      </c>
      <c r="P11" s="19">
        <f t="shared" si="10"/>
        <v>3.1778281639776078</v>
      </c>
      <c r="Q11" s="19">
        <f t="shared" si="10"/>
        <v>3.4473949598243161</v>
      </c>
      <c r="R11" s="19">
        <f t="shared" si="10"/>
        <v>3.6606012371797041</v>
      </c>
      <c r="S11" s="19">
        <f t="shared" si="10"/>
        <v>3.838688729075638</v>
      </c>
      <c r="T11" s="19">
        <f t="shared" si="5"/>
        <v>4</v>
      </c>
      <c r="U11" s="18">
        <f t="shared" si="6"/>
        <v>0.8</v>
      </c>
      <c r="V11" s="5">
        <v>5</v>
      </c>
      <c r="X11" s="20" t="s">
        <v>15</v>
      </c>
      <c r="Y11" s="21">
        <f>(Y10-$B$5)/(($B$4^2)/2)</f>
        <v>0</v>
      </c>
      <c r="Z11" s="21">
        <f>(Z10-$B$5)/(($B$4^2)/2)</f>
        <v>-3.5737087869492826E-2</v>
      </c>
      <c r="AA11" s="21">
        <f t="shared" ref="AA11:AM11" si="19">(AA10-$B$5)/(($B$4^2)/2)</f>
        <v>-9.1033954020531382E-2</v>
      </c>
      <c r="AB11" s="21">
        <f t="shared" si="19"/>
        <v>-0.20357094925129787</v>
      </c>
      <c r="AC11" s="21">
        <f t="shared" si="19"/>
        <v>-0.59334658133157059</v>
      </c>
      <c r="AD11" s="21">
        <f t="shared" si="19"/>
        <v>0.30864054793782997</v>
      </c>
      <c r="AE11" s="21">
        <f t="shared" si="19"/>
        <v>0.58970051308890103</v>
      </c>
      <c r="AF11" s="21">
        <f t="shared" si="19"/>
        <v>0.74184411755879409</v>
      </c>
      <c r="AG11" s="21">
        <f t="shared" si="19"/>
        <v>0.85363224268337945</v>
      </c>
      <c r="AH11" s="21">
        <f t="shared" si="19"/>
        <v>0.95233496383618332</v>
      </c>
      <c r="AI11" s="21">
        <f t="shared" si="19"/>
        <v>0.89241443323640857</v>
      </c>
      <c r="AJ11" s="21">
        <f t="shared" si="19"/>
        <v>0.84549090119893666</v>
      </c>
      <c r="AK11" s="21">
        <f t="shared" si="19"/>
        <v>0.80891509247361681</v>
      </c>
      <c r="AL11" s="21">
        <f t="shared" si="19"/>
        <v>0.77836959828040564</v>
      </c>
      <c r="AM11" s="21">
        <f t="shared" si="19"/>
        <v>0.75</v>
      </c>
    </row>
    <row r="12" spans="1:39" x14ac:dyDescent="0.3">
      <c r="A12" s="1" t="s">
        <v>16</v>
      </c>
      <c r="B12" s="2"/>
      <c r="D12" s="17">
        <v>4</v>
      </c>
      <c r="E12" s="18">
        <f t="shared" si="2"/>
        <v>0.60000000000000009</v>
      </c>
      <c r="L12" s="19">
        <f t="shared" si="17"/>
        <v>0</v>
      </c>
      <c r="M12" s="19">
        <f t="shared" si="10"/>
        <v>0.79863173312459645</v>
      </c>
      <c r="N12" s="19">
        <f t="shared" si="10"/>
        <v>1.422778011992361</v>
      </c>
      <c r="O12" s="19">
        <f t="shared" si="10"/>
        <v>1.8961185228397199</v>
      </c>
      <c r="P12" s="19">
        <f t="shared" si="10"/>
        <v>2.2439513306902512</v>
      </c>
      <c r="Q12" s="19">
        <f t="shared" si="10"/>
        <v>2.5006389146936385</v>
      </c>
      <c r="R12" s="19">
        <f t="shared" si="10"/>
        <v>2.6968677076140741</v>
      </c>
      <c r="S12" s="19">
        <f t="shared" si="10"/>
        <v>2.856875574162101</v>
      </c>
      <c r="T12" s="19">
        <f t="shared" si="5"/>
        <v>3</v>
      </c>
      <c r="U12" s="18">
        <f t="shared" si="6"/>
        <v>0.60000000000000009</v>
      </c>
      <c r="V12" s="5">
        <v>4</v>
      </c>
    </row>
    <row r="13" spans="1:39" x14ac:dyDescent="0.3">
      <c r="A13" s="1" t="s">
        <v>17</v>
      </c>
      <c r="B13" s="2"/>
      <c r="D13" s="17">
        <v>3</v>
      </c>
      <c r="E13" s="18">
        <f t="shared" si="2"/>
        <v>0.4</v>
      </c>
      <c r="M13" s="19">
        <f t="shared" si="17"/>
        <v>0</v>
      </c>
      <c r="N13" s="19">
        <f t="shared" si="10"/>
        <v>0.6283397843613896</v>
      </c>
      <c r="O13" s="19">
        <f t="shared" si="10"/>
        <v>1.0905811262728264</v>
      </c>
      <c r="P13" s="19">
        <f t="shared" si="10"/>
        <v>1.4012197237207034</v>
      </c>
      <c r="Q13" s="19">
        <f t="shared" si="10"/>
        <v>1.6143416628162943</v>
      </c>
      <c r="R13" s="19">
        <f t="shared" si="10"/>
        <v>1.7693551061246975</v>
      </c>
      <c r="S13" s="19">
        <f t="shared" si="10"/>
        <v>1.8919458608412669</v>
      </c>
      <c r="T13" s="19">
        <f t="shared" si="5"/>
        <v>2</v>
      </c>
      <c r="U13" s="18">
        <f t="shared" si="6"/>
        <v>0.4</v>
      </c>
      <c r="V13" s="5">
        <v>3</v>
      </c>
    </row>
    <row r="14" spans="1:39" x14ac:dyDescent="0.3">
      <c r="A14" s="22" t="s">
        <v>1</v>
      </c>
      <c r="B14" s="2">
        <v>0</v>
      </c>
      <c r="D14" s="17">
        <v>2</v>
      </c>
      <c r="E14" s="18">
        <f>$B$2*(D14-1)</f>
        <v>0.2</v>
      </c>
      <c r="N14" s="19">
        <f t="shared" si="17"/>
        <v>0</v>
      </c>
      <c r="O14" s="19">
        <f t="shared" si="10"/>
        <v>0.43664647560096653</v>
      </c>
      <c r="P14" s="19">
        <f t="shared" si="10"/>
        <v>0.65600477670088009</v>
      </c>
      <c r="Q14" s="19">
        <f t="shared" si="10"/>
        <v>0.78615290828476514</v>
      </c>
      <c r="R14" s="19">
        <f t="shared" si="10"/>
        <v>0.87426519438044126</v>
      </c>
      <c r="S14" s="19">
        <f t="shared" si="10"/>
        <v>0.94155276372511387</v>
      </c>
      <c r="T14" s="19">
        <f>T15+$B$6*$B$2</f>
        <v>1</v>
      </c>
      <c r="U14" s="18">
        <f>$B$2*(V14-1)</f>
        <v>0.2</v>
      </c>
      <c r="V14" s="5">
        <v>2</v>
      </c>
      <c r="X14" s="1" t="s">
        <v>18</v>
      </c>
      <c r="Y14" s="8">
        <v>1</v>
      </c>
      <c r="Z14" s="8">
        <v>2</v>
      </c>
      <c r="AA14" s="8">
        <v>3</v>
      </c>
      <c r="AB14" s="8">
        <v>4</v>
      </c>
      <c r="AC14" s="8">
        <v>5</v>
      </c>
      <c r="AD14" s="8">
        <v>6</v>
      </c>
      <c r="AE14" s="8">
        <v>7</v>
      </c>
      <c r="AF14" s="8">
        <v>8</v>
      </c>
      <c r="AG14" s="8">
        <v>9</v>
      </c>
      <c r="AH14" s="8">
        <v>10</v>
      </c>
      <c r="AI14" s="8">
        <v>11</v>
      </c>
      <c r="AJ14" s="8">
        <v>12</v>
      </c>
      <c r="AK14" s="8">
        <v>13</v>
      </c>
      <c r="AL14" s="8">
        <v>14</v>
      </c>
      <c r="AM14" s="8">
        <v>15</v>
      </c>
    </row>
    <row r="15" spans="1:39" x14ac:dyDescent="0.3">
      <c r="A15" s="23" t="s">
        <v>19</v>
      </c>
      <c r="D15" s="17">
        <v>1</v>
      </c>
      <c r="E15" s="18">
        <v>0</v>
      </c>
      <c r="O15" s="19">
        <f t="shared" si="17"/>
        <v>0</v>
      </c>
      <c r="P15" s="19">
        <f t="shared" si="17"/>
        <v>0</v>
      </c>
      <c r="Q15" s="19">
        <f t="shared" si="17"/>
        <v>0</v>
      </c>
      <c r="R15" s="19">
        <f t="shared" si="17"/>
        <v>0</v>
      </c>
      <c r="S15" s="19">
        <f t="shared" si="17"/>
        <v>0</v>
      </c>
      <c r="T15" s="19">
        <f t="shared" si="17"/>
        <v>0</v>
      </c>
      <c r="U15" s="18">
        <v>0</v>
      </c>
      <c r="V15" s="5">
        <v>1</v>
      </c>
      <c r="X15" s="14" t="s">
        <v>4</v>
      </c>
      <c r="Y15" s="15">
        <f>$B$2*(Y14-1)</f>
        <v>0</v>
      </c>
      <c r="Z15" s="16">
        <f t="shared" ref="Z15:AM15" si="20">$B$2*(Z14-1)</f>
        <v>0.2</v>
      </c>
      <c r="AA15" s="16">
        <f t="shared" si="20"/>
        <v>0.4</v>
      </c>
      <c r="AB15" s="16">
        <f t="shared" si="20"/>
        <v>0.60000000000000009</v>
      </c>
      <c r="AC15" s="16">
        <f t="shared" si="20"/>
        <v>0.8</v>
      </c>
      <c r="AD15" s="16">
        <f t="shared" si="20"/>
        <v>1</v>
      </c>
      <c r="AE15" s="16">
        <f t="shared" si="20"/>
        <v>1.2000000000000002</v>
      </c>
      <c r="AF15" s="16">
        <f t="shared" si="20"/>
        <v>1.4000000000000001</v>
      </c>
      <c r="AG15" s="16">
        <f t="shared" si="20"/>
        <v>1.6</v>
      </c>
      <c r="AH15" s="16">
        <f t="shared" si="20"/>
        <v>1.8</v>
      </c>
      <c r="AI15" s="16">
        <f t="shared" si="20"/>
        <v>2</v>
      </c>
      <c r="AJ15" s="16">
        <f t="shared" si="20"/>
        <v>2.2000000000000002</v>
      </c>
      <c r="AK15" s="16">
        <f t="shared" si="20"/>
        <v>2.4000000000000004</v>
      </c>
      <c r="AL15" s="16">
        <f t="shared" si="20"/>
        <v>2.6</v>
      </c>
      <c r="AM15" s="16">
        <f t="shared" si="20"/>
        <v>2.8000000000000003</v>
      </c>
    </row>
    <row r="16" spans="1:39" x14ac:dyDescent="0.3">
      <c r="D16" s="6"/>
      <c r="E16" s="12"/>
      <c r="F16" s="11">
        <f>$B$2*(F17-1)</f>
        <v>0</v>
      </c>
      <c r="G16" s="11">
        <f t="shared" ref="G16:T16" si="21">$B$2*(G17-1)</f>
        <v>0.2</v>
      </c>
      <c r="H16" s="11">
        <f t="shared" si="21"/>
        <v>0.4</v>
      </c>
      <c r="I16" s="11">
        <f t="shared" si="21"/>
        <v>0.60000000000000009</v>
      </c>
      <c r="J16" s="11">
        <f t="shared" si="21"/>
        <v>0.8</v>
      </c>
      <c r="K16" s="11">
        <f t="shared" si="21"/>
        <v>1</v>
      </c>
      <c r="L16" s="11">
        <f t="shared" si="21"/>
        <v>1.2000000000000002</v>
      </c>
      <c r="M16" s="11">
        <f t="shared" si="21"/>
        <v>1.4000000000000001</v>
      </c>
      <c r="N16" s="11">
        <f t="shared" si="21"/>
        <v>1.6</v>
      </c>
      <c r="O16" s="11">
        <f t="shared" si="21"/>
        <v>1.8</v>
      </c>
      <c r="P16" s="11">
        <f t="shared" si="21"/>
        <v>2</v>
      </c>
      <c r="Q16" s="11">
        <f t="shared" si="21"/>
        <v>2.2000000000000002</v>
      </c>
      <c r="R16" s="11">
        <f t="shared" si="21"/>
        <v>2.4000000000000004</v>
      </c>
      <c r="S16" s="11">
        <f t="shared" si="21"/>
        <v>2.6</v>
      </c>
      <c r="T16" s="11">
        <f t="shared" si="21"/>
        <v>2.8000000000000003</v>
      </c>
      <c r="U16" s="12"/>
      <c r="V16" s="7"/>
      <c r="X16" s="14" t="s">
        <v>6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0.8</v>
      </c>
      <c r="AE16" s="5">
        <v>0.6</v>
      </c>
      <c r="AF16" s="5">
        <v>0.4</v>
      </c>
      <c r="AG16" s="5">
        <v>0.2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</row>
    <row r="17" spans="4:39" x14ac:dyDescent="0.3">
      <c r="D17" s="24"/>
      <c r="E17" s="25"/>
      <c r="F17" s="5">
        <v>1</v>
      </c>
      <c r="G17" s="5">
        <v>2</v>
      </c>
      <c r="H17" s="5">
        <v>3</v>
      </c>
      <c r="I17" s="5">
        <v>4</v>
      </c>
      <c r="J17" s="5">
        <v>5</v>
      </c>
      <c r="K17" s="5">
        <v>6</v>
      </c>
      <c r="L17" s="5">
        <v>7</v>
      </c>
      <c r="M17" s="5">
        <v>8</v>
      </c>
      <c r="N17" s="5">
        <v>9</v>
      </c>
      <c r="O17" s="5">
        <v>10</v>
      </c>
      <c r="P17" s="5">
        <v>11</v>
      </c>
      <c r="Q17" s="5">
        <v>12</v>
      </c>
      <c r="R17" s="5">
        <v>13</v>
      </c>
      <c r="S17" s="5">
        <v>14</v>
      </c>
      <c r="T17" s="5">
        <v>15</v>
      </c>
      <c r="U17" s="24"/>
      <c r="V17" s="13"/>
      <c r="X17" s="20" t="s">
        <v>1</v>
      </c>
      <c r="Y17" s="19">
        <f>F5</f>
        <v>10</v>
      </c>
      <c r="Z17" s="19">
        <f t="shared" ref="Z17:AM17" si="22">G5</f>
        <v>10</v>
      </c>
      <c r="AA17" s="19">
        <f t="shared" si="22"/>
        <v>10</v>
      </c>
      <c r="AB17" s="19">
        <f t="shared" si="22"/>
        <v>10</v>
      </c>
      <c r="AC17" s="19">
        <f t="shared" si="22"/>
        <v>10</v>
      </c>
      <c r="AD17" s="19">
        <f t="shared" si="22"/>
        <v>10</v>
      </c>
      <c r="AE17" s="19">
        <f t="shared" si="22"/>
        <v>10</v>
      </c>
      <c r="AF17" s="19">
        <f t="shared" si="22"/>
        <v>10</v>
      </c>
      <c r="AG17" s="19">
        <f t="shared" si="22"/>
        <v>10</v>
      </c>
      <c r="AH17" s="19">
        <f t="shared" si="22"/>
        <v>10</v>
      </c>
      <c r="AI17" s="19">
        <f t="shared" si="22"/>
        <v>10</v>
      </c>
      <c r="AJ17" s="19">
        <f t="shared" si="22"/>
        <v>10</v>
      </c>
      <c r="AK17" s="19">
        <f t="shared" si="22"/>
        <v>10</v>
      </c>
      <c r="AL17" s="19">
        <f t="shared" si="22"/>
        <v>10</v>
      </c>
      <c r="AM17" s="19">
        <f t="shared" si="22"/>
        <v>10</v>
      </c>
    </row>
    <row r="18" spans="4:39" x14ac:dyDescent="0.3">
      <c r="X18" s="20" t="s">
        <v>8</v>
      </c>
      <c r="Y18" s="21">
        <f>F41</f>
        <v>10</v>
      </c>
      <c r="Z18" s="21">
        <f t="shared" ref="Z18:AM18" si="23">G41</f>
        <v>9.8582767341767585</v>
      </c>
      <c r="AA18" s="21">
        <f t="shared" si="23"/>
        <v>9.6756591513898371</v>
      </c>
      <c r="AB18" s="21">
        <f>I41</f>
        <v>9.4096348655443407</v>
      </c>
      <c r="AC18" s="21">
        <f t="shared" si="23"/>
        <v>9.0239139597243589</v>
      </c>
      <c r="AD18" s="21">
        <f t="shared" si="23"/>
        <v>8.5155650443633846</v>
      </c>
      <c r="AE18" s="21">
        <f t="shared" si="23"/>
        <v>7.9485462504911197</v>
      </c>
      <c r="AF18" s="21">
        <f t="shared" si="23"/>
        <v>7.3892542672582895</v>
      </c>
      <c r="AG18" s="21">
        <f t="shared" si="23"/>
        <v>6.8790490051519626</v>
      </c>
      <c r="AH18" s="21">
        <f t="shared" si="23"/>
        <v>6.4349677124987004</v>
      </c>
      <c r="AI18" s="21">
        <f t="shared" si="23"/>
        <v>6.0578555804732215</v>
      </c>
      <c r="AJ18" s="21">
        <f t="shared" si="23"/>
        <v>5.7394572352180973</v>
      </c>
      <c r="AK18" s="21">
        <f t="shared" si="23"/>
        <v>5.4669808958707655</v>
      </c>
      <c r="AL18" s="21">
        <f t="shared" si="23"/>
        <v>5.2256558980516665</v>
      </c>
      <c r="AM18" s="21">
        <f t="shared" si="23"/>
        <v>5</v>
      </c>
    </row>
    <row r="19" spans="4:39" x14ac:dyDescent="0.3">
      <c r="X19" s="20" t="s">
        <v>10</v>
      </c>
      <c r="Y19" s="21">
        <f>F58</f>
        <v>0</v>
      </c>
      <c r="Z19" s="21">
        <f t="shared" ref="Z19:AM19" si="24">G58</f>
        <v>0</v>
      </c>
      <c r="AA19" s="21">
        <f t="shared" si="24"/>
        <v>0</v>
      </c>
      <c r="AB19" s="21">
        <f t="shared" si="24"/>
        <v>0</v>
      </c>
      <c r="AC19" s="21">
        <f t="shared" si="24"/>
        <v>0</v>
      </c>
      <c r="AD19" s="21">
        <f t="shared" si="24"/>
        <v>0</v>
      </c>
      <c r="AE19" s="21">
        <f t="shared" si="24"/>
        <v>0</v>
      </c>
      <c r="AF19" s="21">
        <f t="shared" si="24"/>
        <v>0</v>
      </c>
      <c r="AG19" s="21">
        <f t="shared" si="24"/>
        <v>0</v>
      </c>
      <c r="AH19" s="21">
        <f t="shared" si="24"/>
        <v>0</v>
      </c>
      <c r="AI19" s="21">
        <f t="shared" si="24"/>
        <v>0</v>
      </c>
      <c r="AJ19" s="21">
        <f t="shared" si="24"/>
        <v>0</v>
      </c>
      <c r="AK19" s="21">
        <f t="shared" si="24"/>
        <v>0</v>
      </c>
      <c r="AL19" s="21">
        <f t="shared" si="24"/>
        <v>0</v>
      </c>
      <c r="AM19" s="21">
        <f t="shared" si="24"/>
        <v>0</v>
      </c>
    </row>
    <row r="20" spans="4:39" x14ac:dyDescent="0.3">
      <c r="X20" s="20" t="s">
        <v>11</v>
      </c>
      <c r="Y20" s="21">
        <f>F75</f>
        <v>10</v>
      </c>
      <c r="Z20" s="21">
        <f t="shared" ref="Z20:AM20" si="25">G75</f>
        <v>9.8582767341767585</v>
      </c>
      <c r="AA20" s="21">
        <f t="shared" si="25"/>
        <v>9.6756591513898371</v>
      </c>
      <c r="AB20" s="21">
        <f t="shared" si="25"/>
        <v>9.4096348655443407</v>
      </c>
      <c r="AC20" s="21">
        <f t="shared" si="25"/>
        <v>9.0239139597243589</v>
      </c>
      <c r="AD20" s="21">
        <f t="shared" si="25"/>
        <v>8.5155650443633846</v>
      </c>
      <c r="AE20" s="21">
        <f t="shared" si="25"/>
        <v>7.9485462504911197</v>
      </c>
      <c r="AF20" s="21">
        <f t="shared" si="25"/>
        <v>7.3892542672582895</v>
      </c>
      <c r="AG20" s="21">
        <f t="shared" si="25"/>
        <v>6.8790490051519626</v>
      </c>
      <c r="AH20" s="21">
        <f t="shared" si="25"/>
        <v>6.4349677124987004</v>
      </c>
      <c r="AI20" s="21">
        <f t="shared" si="25"/>
        <v>6.0578555804732215</v>
      </c>
      <c r="AJ20" s="21">
        <f t="shared" si="25"/>
        <v>5.7394572352180973</v>
      </c>
      <c r="AK20" s="21">
        <f t="shared" si="25"/>
        <v>5.4669808958707655</v>
      </c>
      <c r="AL20" s="21">
        <f t="shared" si="25"/>
        <v>5.2256558980516665</v>
      </c>
      <c r="AM20" s="21">
        <f t="shared" si="25"/>
        <v>5</v>
      </c>
    </row>
    <row r="21" spans="4:39" x14ac:dyDescent="0.3">
      <c r="D21" s="3" t="s">
        <v>1</v>
      </c>
      <c r="E21" s="4"/>
      <c r="F21" s="5">
        <v>1</v>
      </c>
      <c r="G21" s="5">
        <v>2</v>
      </c>
      <c r="H21" s="5">
        <v>3</v>
      </c>
      <c r="I21" s="5">
        <v>4</v>
      </c>
      <c r="J21" s="5">
        <v>5</v>
      </c>
      <c r="K21" s="5">
        <v>6</v>
      </c>
      <c r="L21" s="5">
        <v>7</v>
      </c>
      <c r="M21" s="5">
        <v>8</v>
      </c>
      <c r="N21" s="5">
        <v>9</v>
      </c>
      <c r="O21" s="5">
        <v>10</v>
      </c>
      <c r="P21" s="5">
        <v>11</v>
      </c>
      <c r="Q21" s="5">
        <v>12</v>
      </c>
      <c r="R21" s="5">
        <v>13</v>
      </c>
      <c r="S21" s="5">
        <v>14</v>
      </c>
      <c r="T21" s="5">
        <v>15</v>
      </c>
      <c r="U21" s="6"/>
      <c r="V21" s="7"/>
      <c r="X21" s="20" t="s">
        <v>13</v>
      </c>
      <c r="Y21" s="5">
        <f>B5</f>
        <v>101325</v>
      </c>
      <c r="Z21" s="5">
        <f>(Y21+(Y20^2)/2)-(Z20^2)/2</f>
        <v>101326.40718991619</v>
      </c>
      <c r="AA21" s="5">
        <f t="shared" ref="AA21:AG21" si="26">(Z21+(Z20^2)/2)-(AA20^2)/2</f>
        <v>101328.19080999306</v>
      </c>
      <c r="AB21" s="5">
        <f t="shared" si="26"/>
        <v>101330.72938584856</v>
      </c>
      <c r="AC21" s="5">
        <f t="shared" si="26"/>
        <v>101334.28448842374</v>
      </c>
      <c r="AD21" s="5">
        <f t="shared" si="26"/>
        <v>101338.74257598761</v>
      </c>
      <c r="AE21" s="5">
        <f t="shared" si="26"/>
        <v>101343.4103062519</v>
      </c>
      <c r="AF21" s="5">
        <f t="shared" si="26"/>
        <v>101347.6994606869</v>
      </c>
      <c r="AG21" s="5">
        <f t="shared" si="26"/>
        <v>101351.33934239236</v>
      </c>
      <c r="AH21" s="5">
        <f>(AG21+(AG20^2)/2)-(AH20^2)/2</f>
        <v>101354.29559526955</v>
      </c>
      <c r="AI21" s="5">
        <f t="shared" ref="AI21:AM21" si="27">(AH21+(AH20^2)/2)-(AI20^2)/2</f>
        <v>101356.65119288306</v>
      </c>
      <c r="AJ21" s="5">
        <f t="shared" si="27"/>
        <v>101358.52931532255</v>
      </c>
      <c r="AK21" s="5">
        <f t="shared" si="27"/>
        <v>101360.05605994209</v>
      </c>
      <c r="AL21" s="5">
        <f t="shared" si="27"/>
        <v>101361.34626021759</v>
      </c>
      <c r="AM21" s="5">
        <f t="shared" si="27"/>
        <v>101362.5</v>
      </c>
    </row>
    <row r="22" spans="4:39" x14ac:dyDescent="0.3">
      <c r="D22" s="9"/>
      <c r="E22" s="10"/>
      <c r="F22" s="11">
        <f>$B$2*(F21-1)</f>
        <v>0</v>
      </c>
      <c r="G22" s="11">
        <f t="shared" ref="G22:T22" si="28">$B$2*(G21-1)</f>
        <v>0.2</v>
      </c>
      <c r="H22" s="11">
        <f t="shared" si="28"/>
        <v>0.4</v>
      </c>
      <c r="I22" s="11">
        <f t="shared" si="28"/>
        <v>0.60000000000000009</v>
      </c>
      <c r="J22" s="11">
        <f t="shared" si="28"/>
        <v>0.8</v>
      </c>
      <c r="K22" s="11">
        <f t="shared" si="28"/>
        <v>1</v>
      </c>
      <c r="L22" s="11">
        <f t="shared" si="28"/>
        <v>1.2000000000000002</v>
      </c>
      <c r="M22" s="11">
        <f t="shared" si="28"/>
        <v>1.4000000000000001</v>
      </c>
      <c r="N22" s="11">
        <f t="shared" si="28"/>
        <v>1.6</v>
      </c>
      <c r="O22" s="11">
        <f t="shared" si="28"/>
        <v>1.8</v>
      </c>
      <c r="P22" s="11">
        <f t="shared" si="28"/>
        <v>2</v>
      </c>
      <c r="Q22" s="11">
        <f t="shared" si="28"/>
        <v>2.2000000000000002</v>
      </c>
      <c r="R22" s="11">
        <f t="shared" si="28"/>
        <v>2.4000000000000004</v>
      </c>
      <c r="S22" s="11">
        <f t="shared" si="28"/>
        <v>2.6</v>
      </c>
      <c r="T22" s="11">
        <f t="shared" si="28"/>
        <v>2.8000000000000003</v>
      </c>
      <c r="U22" s="12"/>
      <c r="V22" s="13"/>
      <c r="X22" s="20" t="s">
        <v>15</v>
      </c>
      <c r="Y22" s="21">
        <f>(Y21-$B$5)/(($B$4^2)/2)</f>
        <v>0</v>
      </c>
      <c r="Z22" s="21">
        <f>(Z21-$B$5)/(($B$4^2)/2)</f>
        <v>2.8143798323872034E-2</v>
      </c>
      <c r="AA22" s="21">
        <f t="shared" ref="AA22:AM22" si="29">(AA21-$B$5)/(($B$4^2)/2)</f>
        <v>6.3816199861175843E-2</v>
      </c>
      <c r="AB22" s="21">
        <f t="shared" si="29"/>
        <v>0.11458771697129123</v>
      </c>
      <c r="AC22" s="21">
        <f t="shared" si="29"/>
        <v>0.18568976847484009</v>
      </c>
      <c r="AD22" s="21">
        <f t="shared" si="29"/>
        <v>0.27485151975211919</v>
      </c>
      <c r="AE22" s="21">
        <f t="shared" si="29"/>
        <v>0.36820612503797745</v>
      </c>
      <c r="AF22" s="21">
        <f t="shared" si="29"/>
        <v>0.4539892137379502</v>
      </c>
      <c r="AG22" s="21">
        <f t="shared" si="29"/>
        <v>0.52678684784710639</v>
      </c>
      <c r="AH22" s="21">
        <f t="shared" si="29"/>
        <v>0.58591190539096716</v>
      </c>
      <c r="AI22" s="21">
        <f t="shared" si="29"/>
        <v>0.63302385766117364</v>
      </c>
      <c r="AJ22" s="21">
        <f t="shared" si="29"/>
        <v>0.67058630645100492</v>
      </c>
      <c r="AK22" s="21">
        <f t="shared" si="29"/>
        <v>0.70112119884171986</v>
      </c>
      <c r="AL22" s="21">
        <f t="shared" si="29"/>
        <v>0.72692520435171903</v>
      </c>
      <c r="AM22" s="21">
        <f t="shared" si="29"/>
        <v>0.75</v>
      </c>
    </row>
    <row r="23" spans="4:39" x14ac:dyDescent="0.3">
      <c r="D23" s="17">
        <v>11</v>
      </c>
      <c r="E23" s="18">
        <f t="shared" ref="E23:E31" si="30">$B$2*(D23-1)</f>
        <v>2</v>
      </c>
      <c r="F23" s="26">
        <v>10</v>
      </c>
      <c r="G23" s="26">
        <v>10</v>
      </c>
      <c r="H23" s="26">
        <v>10</v>
      </c>
      <c r="I23" s="26">
        <v>10</v>
      </c>
      <c r="J23" s="26">
        <v>10</v>
      </c>
      <c r="K23" s="26">
        <v>10</v>
      </c>
      <c r="L23" s="26">
        <v>10</v>
      </c>
      <c r="M23" s="26">
        <v>10</v>
      </c>
      <c r="N23" s="26">
        <v>10</v>
      </c>
      <c r="O23" s="26">
        <v>10</v>
      </c>
      <c r="P23" s="26">
        <v>10</v>
      </c>
      <c r="Q23" s="26">
        <v>10</v>
      </c>
      <c r="R23" s="26">
        <v>10</v>
      </c>
      <c r="S23" s="26">
        <v>10</v>
      </c>
      <c r="T23" s="26">
        <v>10</v>
      </c>
      <c r="U23" s="18">
        <f t="shared" ref="U23:U31" si="31">$B$2*(V23-1)</f>
        <v>2</v>
      </c>
      <c r="V23" s="5">
        <v>11</v>
      </c>
    </row>
    <row r="24" spans="4:39" x14ac:dyDescent="0.3">
      <c r="D24" s="17">
        <v>10</v>
      </c>
      <c r="E24" s="18">
        <f t="shared" si="30"/>
        <v>1.8</v>
      </c>
      <c r="F24" s="26">
        <v>8</v>
      </c>
      <c r="G24" s="19">
        <v>8.0283446531381291</v>
      </c>
      <c r="H24" s="19">
        <v>8.064868169667605</v>
      </c>
      <c r="I24" s="19">
        <v>8.1180730267981307</v>
      </c>
      <c r="J24" s="19">
        <v>8.1952172079218073</v>
      </c>
      <c r="K24" s="19">
        <v>8.2968869909356435</v>
      </c>
      <c r="L24" s="19">
        <v>8.4102907496631385</v>
      </c>
      <c r="M24" s="19">
        <v>8.5221491462511523</v>
      </c>
      <c r="N24" s="19">
        <v>8.624190198650254</v>
      </c>
      <c r="O24" s="19">
        <v>8.7130064571584249</v>
      </c>
      <c r="P24" s="19">
        <v>8.7884288835931947</v>
      </c>
      <c r="Q24" s="19">
        <v>8.8521085526804058</v>
      </c>
      <c r="R24" s="19">
        <v>8.9066038206318936</v>
      </c>
      <c r="S24" s="19">
        <v>8.9548688202836058</v>
      </c>
      <c r="T24" s="26">
        <v>9</v>
      </c>
      <c r="U24" s="18">
        <f t="shared" si="31"/>
        <v>1.8</v>
      </c>
      <c r="V24" s="5">
        <v>10</v>
      </c>
    </row>
    <row r="25" spans="4:39" x14ac:dyDescent="0.3">
      <c r="D25" s="17">
        <v>9</v>
      </c>
      <c r="E25" s="18">
        <f t="shared" si="30"/>
        <v>1.6</v>
      </c>
      <c r="F25" s="26">
        <v>6</v>
      </c>
      <c r="G25" s="19">
        <v>6.0485104429909891</v>
      </c>
      <c r="H25" s="19">
        <v>6.1130549989518741</v>
      </c>
      <c r="I25" s="19">
        <v>6.212206729975116</v>
      </c>
      <c r="J25" s="19">
        <v>6.3659088144867422</v>
      </c>
      <c r="K25" s="19">
        <v>6.5820400069243483</v>
      </c>
      <c r="L25" s="19">
        <v>6.8221268624203084</v>
      </c>
      <c r="M25" s="19">
        <v>7.0541156378799741</v>
      </c>
      <c r="N25" s="19">
        <v>7.2616051924688554</v>
      </c>
      <c r="O25" s="19">
        <v>7.4394067477575936</v>
      </c>
      <c r="P25" s="19">
        <v>7.5886005257825921</v>
      </c>
      <c r="Q25" s="19">
        <v>7.7134015076004392</v>
      </c>
      <c r="R25" s="19">
        <v>7.8194379103393796</v>
      </c>
      <c r="S25" s="19">
        <v>7.9128714609267758</v>
      </c>
      <c r="T25" s="26">
        <v>8</v>
      </c>
      <c r="U25" s="18">
        <f t="shared" si="31"/>
        <v>1.6</v>
      </c>
      <c r="V25" s="5">
        <v>9</v>
      </c>
    </row>
    <row r="26" spans="4:39" x14ac:dyDescent="0.3">
      <c r="D26" s="17">
        <v>8</v>
      </c>
      <c r="E26" s="18">
        <f t="shared" si="30"/>
        <v>1.4000000000000001</v>
      </c>
      <c r="F26" s="26">
        <v>4</v>
      </c>
      <c r="G26" s="19">
        <v>4.0526421200427807</v>
      </c>
      <c r="H26" s="19">
        <v>4.1266346535493881</v>
      </c>
      <c r="I26" s="19">
        <v>4.2517900802683339</v>
      </c>
      <c r="J26" s="19">
        <v>4.4741713140779948</v>
      </c>
      <c r="K26" s="19">
        <v>4.8432373611608357</v>
      </c>
      <c r="L26" s="19">
        <v>5.242061057001143</v>
      </c>
      <c r="M26" s="19">
        <v>5.610581352479457</v>
      </c>
      <c r="N26" s="19">
        <v>5.9287081880403809</v>
      </c>
      <c r="O26" s="19">
        <v>6.1944148180770258</v>
      </c>
      <c r="P26" s="19">
        <v>6.4131649666039534</v>
      </c>
      <c r="Q26" s="19">
        <v>6.5934590435975515</v>
      </c>
      <c r="R26" s="19">
        <v>6.7448748537122958</v>
      </c>
      <c r="S26" s="19">
        <v>6.8771791138542575</v>
      </c>
      <c r="T26" s="26">
        <v>7</v>
      </c>
      <c r="U26" s="18">
        <f t="shared" si="31"/>
        <v>1.4000000000000001</v>
      </c>
      <c r="V26" s="5">
        <v>8</v>
      </c>
    </row>
    <row r="27" spans="4:39" x14ac:dyDescent="0.3">
      <c r="D27" s="17">
        <v>7</v>
      </c>
      <c r="E27" s="18">
        <f t="shared" si="30"/>
        <v>1.2000000000000002</v>
      </c>
      <c r="F27" s="26">
        <v>2</v>
      </c>
      <c r="G27" s="19">
        <v>2.0354233838110529</v>
      </c>
      <c r="H27" s="19">
        <v>2.0890514153121074</v>
      </c>
      <c r="I27" s="19">
        <v>2.1941476241416438</v>
      </c>
      <c r="J27" s="19">
        <v>2.4357490014222472</v>
      </c>
      <c r="K27" s="19">
        <v>3.0746770682549087</v>
      </c>
      <c r="L27" s="19">
        <v>3.6922986540966254</v>
      </c>
      <c r="M27" s="19">
        <v>4.2174405298012037</v>
      </c>
      <c r="N27" s="19">
        <v>4.6482313922403229</v>
      </c>
      <c r="O27" s="19">
        <v>4.9963793732934905</v>
      </c>
      <c r="P27" s="19">
        <v>5.2761854820913392</v>
      </c>
      <c r="Q27" s="19">
        <v>5.5023948492659063</v>
      </c>
      <c r="R27" s="19">
        <v>5.6894233490305037</v>
      </c>
      <c r="S27" s="19">
        <v>5.8509701418595963</v>
      </c>
      <c r="T27" s="26">
        <v>6</v>
      </c>
      <c r="U27" s="18">
        <f t="shared" si="31"/>
        <v>1.2000000000000002</v>
      </c>
      <c r="V27" s="5">
        <v>7</v>
      </c>
    </row>
    <row r="28" spans="4:39" x14ac:dyDescent="0.3">
      <c r="D28" s="17">
        <v>6</v>
      </c>
      <c r="E28" s="18">
        <f t="shared" si="30"/>
        <v>1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1.3274232577402323</v>
      </c>
      <c r="L28" s="26">
        <v>2.235015963562681</v>
      </c>
      <c r="M28" s="26">
        <v>2.918650723252739</v>
      </c>
      <c r="N28" s="26">
        <v>3.4503974813528275</v>
      </c>
      <c r="O28" s="26">
        <v>3.8666858044153312</v>
      </c>
      <c r="P28" s="26">
        <v>4.1928027428810433</v>
      </c>
      <c r="Q28" s="26">
        <v>4.4505115254163634</v>
      </c>
      <c r="R28" s="26">
        <v>4.6594535536306454</v>
      </c>
      <c r="S28" s="26">
        <v>4.8372781057525023</v>
      </c>
      <c r="T28" s="26">
        <v>5</v>
      </c>
      <c r="U28" s="18">
        <f t="shared" si="31"/>
        <v>1</v>
      </c>
      <c r="V28" s="5">
        <v>6</v>
      </c>
    </row>
    <row r="29" spans="4:39" x14ac:dyDescent="0.3">
      <c r="D29" s="17">
        <v>5</v>
      </c>
      <c r="E29" s="18">
        <f t="shared" si="30"/>
        <v>0.8</v>
      </c>
      <c r="K29" s="26">
        <v>0</v>
      </c>
      <c r="L29" s="19">
        <v>1.0016912208825077</v>
      </c>
      <c r="M29" s="19">
        <v>1.7717489209605828</v>
      </c>
      <c r="N29" s="19">
        <v>2.3680220087354145</v>
      </c>
      <c r="O29" s="26">
        <v>2.8271636238531688</v>
      </c>
      <c r="P29" s="26">
        <v>3.1778281631527161</v>
      </c>
      <c r="Q29" s="26">
        <v>3.4473949591160666</v>
      </c>
      <c r="R29" s="26">
        <v>3.6606012366301481</v>
      </c>
      <c r="S29" s="26">
        <v>3.8386887287925644</v>
      </c>
      <c r="T29" s="26">
        <v>4</v>
      </c>
      <c r="U29" s="18">
        <f t="shared" si="31"/>
        <v>0.8</v>
      </c>
      <c r="V29" s="5">
        <v>5</v>
      </c>
    </row>
    <row r="30" spans="4:39" x14ac:dyDescent="0.3">
      <c r="D30" s="17">
        <v>4</v>
      </c>
      <c r="E30" s="18">
        <f t="shared" si="30"/>
        <v>0.60000000000000009</v>
      </c>
      <c r="L30" s="26">
        <v>0</v>
      </c>
      <c r="M30" s="19">
        <v>0.79863173286964373</v>
      </c>
      <c r="N30" s="19">
        <v>1.4227780115378033</v>
      </c>
      <c r="O30" s="26">
        <v>1.8961185222279211</v>
      </c>
      <c r="P30" s="26">
        <v>2.2439513300601526</v>
      </c>
      <c r="Q30" s="26">
        <v>2.5006389140980367</v>
      </c>
      <c r="R30" s="26">
        <v>2.6968677071795395</v>
      </c>
      <c r="S30" s="26">
        <v>2.8568755739199028</v>
      </c>
      <c r="T30" s="26">
        <v>3</v>
      </c>
      <c r="U30" s="18">
        <f t="shared" si="31"/>
        <v>0.60000000000000009</v>
      </c>
      <c r="V30" s="5">
        <v>4</v>
      </c>
    </row>
    <row r="31" spans="4:39" x14ac:dyDescent="0.3">
      <c r="D31" s="17">
        <v>3</v>
      </c>
      <c r="E31" s="18">
        <f t="shared" si="30"/>
        <v>0.4</v>
      </c>
      <c r="M31" s="26">
        <v>0</v>
      </c>
      <c r="N31" s="19">
        <v>0.62833978413646474</v>
      </c>
      <c r="O31" s="26">
        <v>1.0905811259077549</v>
      </c>
      <c r="P31" s="26">
        <v>1.4012197232823302</v>
      </c>
      <c r="Q31" s="26">
        <v>1.6143416624187945</v>
      </c>
      <c r="R31" s="26">
        <v>1.7693551058082095</v>
      </c>
      <c r="S31" s="26">
        <v>1.8919458606763009</v>
      </c>
      <c r="T31" s="26">
        <v>2</v>
      </c>
      <c r="U31" s="18">
        <f t="shared" si="31"/>
        <v>0.4</v>
      </c>
      <c r="V31" s="5">
        <v>3</v>
      </c>
    </row>
    <row r="32" spans="4:39" x14ac:dyDescent="0.3">
      <c r="D32" s="17">
        <v>2</v>
      </c>
      <c r="E32" s="18">
        <f>$B$2*(D32-1)</f>
        <v>0.2</v>
      </c>
      <c r="N32" s="26">
        <v>0</v>
      </c>
      <c r="O32" s="26">
        <v>0.43664647544458957</v>
      </c>
      <c r="P32" s="26">
        <v>0.65600477649611122</v>
      </c>
      <c r="Q32" s="26">
        <v>0.78615290807660065</v>
      </c>
      <c r="R32" s="26">
        <v>0.87426519422415483</v>
      </c>
      <c r="S32" s="26">
        <v>0.94155276363695495</v>
      </c>
      <c r="T32" s="26">
        <v>1</v>
      </c>
      <c r="U32" s="18">
        <f>$B$2*(V32-1)</f>
        <v>0.2</v>
      </c>
      <c r="V32" s="5">
        <v>2</v>
      </c>
    </row>
    <row r="33" spans="4:22" x14ac:dyDescent="0.3">
      <c r="D33" s="17">
        <v>1</v>
      </c>
      <c r="E33" s="18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18">
        <v>0</v>
      </c>
      <c r="V33" s="5">
        <v>1</v>
      </c>
    </row>
    <row r="34" spans="4:22" x14ac:dyDescent="0.3">
      <c r="D34" s="6"/>
      <c r="E34" s="12"/>
      <c r="F34" s="11">
        <f>$B$2*(F35-1)</f>
        <v>0</v>
      </c>
      <c r="G34" s="11">
        <f t="shared" ref="G34:T34" si="32">$B$2*(G35-1)</f>
        <v>0.2</v>
      </c>
      <c r="H34" s="11">
        <f t="shared" si="32"/>
        <v>0.4</v>
      </c>
      <c r="I34" s="11">
        <f t="shared" si="32"/>
        <v>0.60000000000000009</v>
      </c>
      <c r="J34" s="11">
        <f t="shared" si="32"/>
        <v>0.8</v>
      </c>
      <c r="K34" s="11">
        <f t="shared" si="32"/>
        <v>1</v>
      </c>
      <c r="L34" s="11">
        <f t="shared" si="32"/>
        <v>1.2000000000000002</v>
      </c>
      <c r="M34" s="11">
        <f t="shared" si="32"/>
        <v>1.4000000000000001</v>
      </c>
      <c r="N34" s="11">
        <f t="shared" si="32"/>
        <v>1.6</v>
      </c>
      <c r="O34" s="11">
        <f t="shared" si="32"/>
        <v>1.8</v>
      </c>
      <c r="P34" s="11">
        <f t="shared" si="32"/>
        <v>2</v>
      </c>
      <c r="Q34" s="11">
        <f t="shared" si="32"/>
        <v>2.2000000000000002</v>
      </c>
      <c r="R34" s="11">
        <f t="shared" si="32"/>
        <v>2.4000000000000004</v>
      </c>
      <c r="S34" s="11">
        <f t="shared" si="32"/>
        <v>2.6</v>
      </c>
      <c r="T34" s="11">
        <f t="shared" si="32"/>
        <v>2.8000000000000003</v>
      </c>
      <c r="U34" s="12"/>
      <c r="V34" s="7"/>
    </row>
    <row r="35" spans="4:22" x14ac:dyDescent="0.3">
      <c r="D35" s="24"/>
      <c r="E35" s="25"/>
      <c r="F35" s="5">
        <v>1</v>
      </c>
      <c r="G35" s="5">
        <v>2</v>
      </c>
      <c r="H35" s="5">
        <v>3</v>
      </c>
      <c r="I35" s="5">
        <v>4</v>
      </c>
      <c r="J35" s="5">
        <v>5</v>
      </c>
      <c r="K35" s="5">
        <v>6</v>
      </c>
      <c r="L35" s="5">
        <v>7</v>
      </c>
      <c r="M35" s="5">
        <v>8</v>
      </c>
      <c r="N35" s="5">
        <v>9</v>
      </c>
      <c r="O35" s="5">
        <v>10</v>
      </c>
      <c r="P35" s="5">
        <v>11</v>
      </c>
      <c r="Q35" s="5">
        <v>12</v>
      </c>
      <c r="R35" s="5">
        <v>13</v>
      </c>
      <c r="S35" s="5">
        <v>14</v>
      </c>
      <c r="T35" s="5">
        <v>15</v>
      </c>
      <c r="U35" s="24"/>
      <c r="V35" s="13"/>
    </row>
    <row r="39" spans="4:22" x14ac:dyDescent="0.3">
      <c r="D39" s="3" t="s">
        <v>8</v>
      </c>
      <c r="E39" s="4"/>
      <c r="F39" s="5">
        <v>1</v>
      </c>
      <c r="G39" s="5">
        <v>2</v>
      </c>
      <c r="H39" s="5">
        <v>3</v>
      </c>
      <c r="I39" s="5">
        <v>4</v>
      </c>
      <c r="J39" s="5">
        <v>5</v>
      </c>
      <c r="K39" s="5">
        <v>6</v>
      </c>
      <c r="L39" s="5">
        <v>7</v>
      </c>
      <c r="M39" s="5">
        <v>8</v>
      </c>
      <c r="N39" s="5">
        <v>9</v>
      </c>
      <c r="O39" s="5">
        <v>10</v>
      </c>
      <c r="P39" s="5">
        <v>11</v>
      </c>
      <c r="Q39" s="5">
        <v>12</v>
      </c>
      <c r="R39" s="5">
        <v>13</v>
      </c>
      <c r="S39" s="5">
        <v>14</v>
      </c>
      <c r="T39" s="5">
        <v>15</v>
      </c>
      <c r="U39" s="6"/>
      <c r="V39" s="7"/>
    </row>
    <row r="40" spans="4:22" x14ac:dyDescent="0.3">
      <c r="D40" s="9"/>
      <c r="E40" s="10"/>
      <c r="F40" s="11">
        <f>$B$2*(F39-1)</f>
        <v>0</v>
      </c>
      <c r="G40" s="11">
        <f t="shared" ref="G40:T40" si="33">$B$2*(G39-1)</f>
        <v>0.2</v>
      </c>
      <c r="H40" s="11">
        <f t="shared" si="33"/>
        <v>0.4</v>
      </c>
      <c r="I40" s="11">
        <f t="shared" si="33"/>
        <v>0.60000000000000009</v>
      </c>
      <c r="J40" s="11">
        <f t="shared" si="33"/>
        <v>0.8</v>
      </c>
      <c r="K40" s="11">
        <f t="shared" si="33"/>
        <v>1</v>
      </c>
      <c r="L40" s="11">
        <f t="shared" si="33"/>
        <v>1.2000000000000002</v>
      </c>
      <c r="M40" s="11">
        <f t="shared" si="33"/>
        <v>1.4000000000000001</v>
      </c>
      <c r="N40" s="11">
        <f t="shared" si="33"/>
        <v>1.6</v>
      </c>
      <c r="O40" s="11">
        <f t="shared" si="33"/>
        <v>1.8</v>
      </c>
      <c r="P40" s="11">
        <f t="shared" si="33"/>
        <v>2</v>
      </c>
      <c r="Q40" s="11">
        <f t="shared" si="33"/>
        <v>2.2000000000000002</v>
      </c>
      <c r="R40" s="11">
        <f t="shared" si="33"/>
        <v>2.4000000000000004</v>
      </c>
      <c r="S40" s="11">
        <f t="shared" si="33"/>
        <v>2.6</v>
      </c>
      <c r="T40" s="11">
        <f t="shared" si="33"/>
        <v>2.8000000000000003</v>
      </c>
      <c r="U40" s="12"/>
      <c r="V40" s="13"/>
    </row>
    <row r="41" spans="4:22" x14ac:dyDescent="0.3">
      <c r="D41" s="17">
        <v>11</v>
      </c>
      <c r="E41" s="18">
        <f t="shared" ref="E41:E49" si="34">$B$2*(D41-1)</f>
        <v>2</v>
      </c>
      <c r="F41" s="27">
        <f>(F23-F24)/$B$2</f>
        <v>10</v>
      </c>
      <c r="G41" s="27">
        <f>(G5-G6)/$B$2</f>
        <v>9.8582767341767585</v>
      </c>
      <c r="H41" s="27">
        <f t="shared" ref="H41:T50" si="35">(H5-H6)/$B$2</f>
        <v>9.6756591513898371</v>
      </c>
      <c r="I41" s="27">
        <f t="shared" si="35"/>
        <v>9.4096348655443407</v>
      </c>
      <c r="J41" s="27">
        <f t="shared" si="35"/>
        <v>9.0239139597243589</v>
      </c>
      <c r="K41" s="27">
        <f t="shared" si="35"/>
        <v>8.5155650443633846</v>
      </c>
      <c r="L41" s="27">
        <f t="shared" si="35"/>
        <v>7.9485462504911197</v>
      </c>
      <c r="M41" s="27">
        <f t="shared" si="35"/>
        <v>7.3892542672582895</v>
      </c>
      <c r="N41" s="27">
        <f t="shared" si="35"/>
        <v>6.8790490051519626</v>
      </c>
      <c r="O41" s="27">
        <f t="shared" si="35"/>
        <v>6.4349677124987004</v>
      </c>
      <c r="P41" s="27">
        <f t="shared" si="35"/>
        <v>6.0578555804732215</v>
      </c>
      <c r="Q41" s="27">
        <f t="shared" si="35"/>
        <v>5.7394572352180973</v>
      </c>
      <c r="R41" s="27">
        <f t="shared" si="35"/>
        <v>5.4669808958707655</v>
      </c>
      <c r="S41" s="27">
        <f t="shared" si="35"/>
        <v>5.2256558980516665</v>
      </c>
      <c r="T41" s="27">
        <f t="shared" si="35"/>
        <v>5</v>
      </c>
      <c r="U41" s="18">
        <f t="shared" ref="U41:U49" si="36">$B$2*(V41-1)</f>
        <v>2</v>
      </c>
      <c r="V41" s="5">
        <v>11</v>
      </c>
    </row>
    <row r="42" spans="4:22" x14ac:dyDescent="0.3">
      <c r="D42" s="17">
        <v>10</v>
      </c>
      <c r="E42" s="18">
        <f t="shared" si="34"/>
        <v>1.8</v>
      </c>
      <c r="F42" s="27">
        <f t="shared" ref="F42:F45" si="37">(F6-F7)/$B$2</f>
        <v>10</v>
      </c>
      <c r="G42" s="27">
        <f>(G5-G7)/(2*$B$2)</f>
        <v>9.8787238924170087</v>
      </c>
      <c r="H42" s="27">
        <f t="shared" ref="H42:S42" si="38">(H5-H7)/(2*$B$2)</f>
        <v>9.7173625023855639</v>
      </c>
      <c r="I42" s="27">
        <f t="shared" si="38"/>
        <v>9.4694831746843224</v>
      </c>
      <c r="J42" s="27">
        <f t="shared" si="38"/>
        <v>9.0852279631879576</v>
      </c>
      <c r="K42" s="27">
        <f t="shared" si="38"/>
        <v>8.5448999818727955</v>
      </c>
      <c r="L42" s="27">
        <f t="shared" si="38"/>
        <v>7.9446828428321226</v>
      </c>
      <c r="M42" s="27">
        <f t="shared" si="38"/>
        <v>7.3647109039876408</v>
      </c>
      <c r="N42" s="27">
        <f t="shared" si="38"/>
        <v>6.8459870172948722</v>
      </c>
      <c r="O42" s="27">
        <f t="shared" si="38"/>
        <v>6.4014831290706882</v>
      </c>
      <c r="P42" s="27">
        <f t="shared" si="38"/>
        <v>6.0284986840280119</v>
      </c>
      <c r="Q42" s="27">
        <f t="shared" si="38"/>
        <v>5.716496229750045</v>
      </c>
      <c r="R42" s="27">
        <f t="shared" si="38"/>
        <v>5.4514052232053745</v>
      </c>
      <c r="S42" s="27">
        <f t="shared" si="38"/>
        <v>5.2178213472017232</v>
      </c>
      <c r="T42" s="27">
        <f t="shared" si="35"/>
        <v>5</v>
      </c>
      <c r="U42" s="18">
        <f t="shared" si="36"/>
        <v>1.8</v>
      </c>
      <c r="V42" s="5">
        <v>10</v>
      </c>
    </row>
    <row r="43" spans="4:22" x14ac:dyDescent="0.3">
      <c r="D43" s="17">
        <v>9</v>
      </c>
      <c r="E43" s="18">
        <f t="shared" si="34"/>
        <v>1.6</v>
      </c>
      <c r="F43" s="27">
        <f t="shared" si="37"/>
        <v>10</v>
      </c>
      <c r="G43" s="27">
        <f t="shared" ref="G43:S50" si="39">(G6-G8)/(2*$B$2)</f>
        <v>9.9392563326919756</v>
      </c>
      <c r="H43" s="27">
        <f t="shared" si="39"/>
        <v>9.8455837901956453</v>
      </c>
      <c r="I43" s="27">
        <f t="shared" si="39"/>
        <v>9.66570736613774</v>
      </c>
      <c r="J43" s="27">
        <f t="shared" si="39"/>
        <v>9.3026147343014696</v>
      </c>
      <c r="K43" s="27">
        <f t="shared" si="39"/>
        <v>8.6341240739068095</v>
      </c>
      <c r="L43" s="27">
        <f t="shared" si="39"/>
        <v>7.9205742309061744</v>
      </c>
      <c r="M43" s="27">
        <f t="shared" si="39"/>
        <v>7.2789194834191662</v>
      </c>
      <c r="N43" s="27">
        <f t="shared" si="39"/>
        <v>6.7387050253829806</v>
      </c>
      <c r="O43" s="27">
        <f t="shared" si="39"/>
        <v>6.2964790964410122</v>
      </c>
      <c r="P43" s="27">
        <f t="shared" si="39"/>
        <v>5.9381597912955719</v>
      </c>
      <c r="Q43" s="27">
        <f t="shared" si="39"/>
        <v>5.6466237716518304</v>
      </c>
      <c r="R43" s="27">
        <f t="shared" si="39"/>
        <v>5.404322416551059</v>
      </c>
      <c r="S43" s="27">
        <f t="shared" si="39"/>
        <v>5.1942242656624993</v>
      </c>
      <c r="T43" s="27">
        <f t="shared" si="35"/>
        <v>5</v>
      </c>
      <c r="U43" s="18">
        <f t="shared" si="36"/>
        <v>1.6</v>
      </c>
      <c r="V43" s="5">
        <v>9</v>
      </c>
    </row>
    <row r="44" spans="4:22" x14ac:dyDescent="0.3">
      <c r="D44" s="17">
        <v>8</v>
      </c>
      <c r="E44" s="18">
        <f t="shared" si="34"/>
        <v>1.4000000000000001</v>
      </c>
      <c r="F44" s="27">
        <f t="shared" si="37"/>
        <v>10</v>
      </c>
      <c r="G44" s="27">
        <f t="shared" si="39"/>
        <v>10.032717647986184</v>
      </c>
      <c r="H44" s="27">
        <f t="shared" si="39"/>
        <v>10.060008959175631</v>
      </c>
      <c r="I44" s="27">
        <f t="shared" si="39"/>
        <v>10.045147764688997</v>
      </c>
      <c r="J44" s="27">
        <f t="shared" si="39"/>
        <v>9.8253995327654486</v>
      </c>
      <c r="K44" s="27">
        <f t="shared" si="39"/>
        <v>8.7684073466147421</v>
      </c>
      <c r="L44" s="27">
        <f t="shared" si="39"/>
        <v>7.8245705205304166</v>
      </c>
      <c r="M44" s="27">
        <f t="shared" si="39"/>
        <v>7.0916877697191438</v>
      </c>
      <c r="N44" s="27">
        <f t="shared" si="39"/>
        <v>6.5334344999001903</v>
      </c>
      <c r="O44" s="27">
        <f t="shared" si="39"/>
        <v>6.1075684354142989</v>
      </c>
      <c r="P44" s="27">
        <f t="shared" si="39"/>
        <v>5.7810376084442412</v>
      </c>
      <c r="Q44" s="27">
        <f t="shared" si="39"/>
        <v>5.5275166451651048</v>
      </c>
      <c r="R44" s="27">
        <f t="shared" si="39"/>
        <v>5.325036402751846</v>
      </c>
      <c r="S44" s="27">
        <f t="shared" si="39"/>
        <v>5.1547532973999877</v>
      </c>
      <c r="T44" s="27">
        <f t="shared" si="35"/>
        <v>5</v>
      </c>
      <c r="U44" s="18">
        <f t="shared" si="36"/>
        <v>1.4000000000000001</v>
      </c>
      <c r="V44" s="5">
        <v>8</v>
      </c>
    </row>
    <row r="45" spans="4:22" x14ac:dyDescent="0.3">
      <c r="D45" s="17">
        <v>7</v>
      </c>
      <c r="E45" s="18">
        <f t="shared" si="34"/>
        <v>1.2000000000000002</v>
      </c>
      <c r="F45" s="27">
        <f t="shared" si="37"/>
        <v>10</v>
      </c>
      <c r="G45" s="27">
        <f t="shared" si="39"/>
        <v>10.131605300219643</v>
      </c>
      <c r="H45" s="27">
        <f t="shared" si="39"/>
        <v>10.316586634109434</v>
      </c>
      <c r="I45" s="27">
        <f t="shared" si="39"/>
        <v>10.629475201090088</v>
      </c>
      <c r="J45" s="27">
        <f t="shared" si="39"/>
        <v>11.185428285836348</v>
      </c>
      <c r="K45" s="27">
        <f t="shared" si="39"/>
        <v>8.789535259025504</v>
      </c>
      <c r="L45" s="27">
        <f t="shared" si="39"/>
        <v>7.5176127338657004</v>
      </c>
      <c r="M45" s="27">
        <f t="shared" si="39"/>
        <v>6.7298265731533791</v>
      </c>
      <c r="N45" s="27">
        <f t="shared" si="39"/>
        <v>6.1957767666386587</v>
      </c>
      <c r="O45" s="27">
        <f t="shared" si="39"/>
        <v>5.8193225339468064</v>
      </c>
      <c r="P45" s="27">
        <f t="shared" si="39"/>
        <v>5.5509055590454732</v>
      </c>
      <c r="Q45" s="27">
        <f t="shared" si="39"/>
        <v>5.3573687951805811</v>
      </c>
      <c r="R45" s="27">
        <f t="shared" si="39"/>
        <v>5.2135532499951083</v>
      </c>
      <c r="S45" s="27">
        <f t="shared" si="39"/>
        <v>5.0997525201349125</v>
      </c>
      <c r="T45" s="27">
        <f t="shared" si="35"/>
        <v>5</v>
      </c>
      <c r="U45" s="18">
        <f t="shared" si="36"/>
        <v>1.2000000000000002</v>
      </c>
      <c r="V45" s="5">
        <v>7</v>
      </c>
    </row>
    <row r="46" spans="4:22" x14ac:dyDescent="0.3">
      <c r="D46" s="17">
        <v>6</v>
      </c>
      <c r="E46" s="18">
        <f t="shared" si="34"/>
        <v>1</v>
      </c>
      <c r="F46" s="27">
        <f>$B$4</f>
        <v>10</v>
      </c>
      <c r="G46" s="27">
        <f>(G9-G10)/$B$2</f>
        <v>10.177116919193608</v>
      </c>
      <c r="H46" s="27">
        <f t="shared" ref="H46:T51" si="40">(H9-H10)/$B$2</f>
        <v>10.445257076877605</v>
      </c>
      <c r="I46" s="27">
        <f t="shared" si="40"/>
        <v>10.97073812125336</v>
      </c>
      <c r="J46" s="27">
        <f t="shared" si="40"/>
        <v>12.178745008093182</v>
      </c>
      <c r="K46" s="27">
        <f t="shared" si="39"/>
        <v>7.6866926715124615</v>
      </c>
      <c r="L46" s="27">
        <f t="shared" si="39"/>
        <v>6.72651858381042</v>
      </c>
      <c r="M46" s="27">
        <f t="shared" si="39"/>
        <v>6.1142290227055236</v>
      </c>
      <c r="N46" s="27">
        <f t="shared" si="39"/>
        <v>5.7005234592396992</v>
      </c>
      <c r="O46" s="27">
        <f t="shared" si="39"/>
        <v>5.4230393739328981</v>
      </c>
      <c r="P46" s="27">
        <f t="shared" si="39"/>
        <v>5.2458932975837262</v>
      </c>
      <c r="Q46" s="27">
        <f t="shared" si="39"/>
        <v>5.1374997255240595</v>
      </c>
      <c r="R46" s="27">
        <f t="shared" si="39"/>
        <v>5.0720552810935189</v>
      </c>
      <c r="S46" s="27">
        <f t="shared" si="39"/>
        <v>5.030703532709194</v>
      </c>
      <c r="T46" s="27">
        <f t="shared" si="35"/>
        <v>5</v>
      </c>
      <c r="U46" s="18">
        <f t="shared" si="36"/>
        <v>1</v>
      </c>
      <c r="V46" s="5">
        <v>6</v>
      </c>
    </row>
    <row r="47" spans="4:22" x14ac:dyDescent="0.3">
      <c r="D47" s="17">
        <v>5</v>
      </c>
      <c r="E47" s="18">
        <f t="shared" si="34"/>
        <v>0.8</v>
      </c>
      <c r="K47" s="27">
        <f t="shared" si="40"/>
        <v>6.6371162897719866</v>
      </c>
      <c r="L47" s="27">
        <f t="shared" si="39"/>
        <v>5.5875399099825644</v>
      </c>
      <c r="M47" s="27">
        <f t="shared" si="39"/>
        <v>5.3000474769868182</v>
      </c>
      <c r="N47" s="27">
        <f t="shared" si="39"/>
        <v>5.0690486754214765</v>
      </c>
      <c r="O47" s="27">
        <f t="shared" si="39"/>
        <v>4.9264182062635307</v>
      </c>
      <c r="P47" s="27">
        <f t="shared" si="39"/>
        <v>4.8721285326967152</v>
      </c>
      <c r="Q47" s="27">
        <f t="shared" si="39"/>
        <v>4.8746815288244427</v>
      </c>
      <c r="R47" s="27">
        <f t="shared" si="39"/>
        <v>4.9064646164832633</v>
      </c>
      <c r="S47" s="27">
        <f t="shared" si="39"/>
        <v>4.9510063297715021</v>
      </c>
      <c r="T47" s="27">
        <f t="shared" si="35"/>
        <v>5</v>
      </c>
      <c r="U47" s="18">
        <f t="shared" si="36"/>
        <v>0.8</v>
      </c>
      <c r="V47" s="5">
        <v>5</v>
      </c>
    </row>
    <row r="48" spans="4:22" x14ac:dyDescent="0.3">
      <c r="D48" s="17">
        <v>4</v>
      </c>
      <c r="E48" s="18">
        <f t="shared" si="34"/>
        <v>0.60000000000000009</v>
      </c>
      <c r="L48" s="27">
        <f t="shared" si="40"/>
        <v>5.0084561056540799</v>
      </c>
      <c r="M48" s="27">
        <f t="shared" si="39"/>
        <v>4.4293723035876909</v>
      </c>
      <c r="N48" s="27">
        <f t="shared" si="39"/>
        <v>4.3492055626617638</v>
      </c>
      <c r="O48" s="27">
        <f t="shared" si="39"/>
        <v>4.3414562459000479</v>
      </c>
      <c r="P48" s="27">
        <f t="shared" si="39"/>
        <v>4.4415211006422606</v>
      </c>
      <c r="Q48" s="27">
        <f t="shared" si="39"/>
        <v>4.5826332425200542</v>
      </c>
      <c r="R48" s="27">
        <f t="shared" si="39"/>
        <v>4.7281153276375161</v>
      </c>
      <c r="S48" s="27">
        <f t="shared" si="39"/>
        <v>4.8668571705859272</v>
      </c>
      <c r="T48" s="27">
        <f t="shared" si="35"/>
        <v>5</v>
      </c>
      <c r="U48" s="18">
        <f t="shared" si="36"/>
        <v>0.60000000000000009</v>
      </c>
      <c r="V48" s="5">
        <v>4</v>
      </c>
    </row>
    <row r="49" spans="4:22" x14ac:dyDescent="0.3">
      <c r="D49" s="17">
        <v>3</v>
      </c>
      <c r="E49" s="18">
        <f t="shared" si="34"/>
        <v>0.4</v>
      </c>
      <c r="M49" s="27">
        <f t="shared" si="40"/>
        <v>3.9931586656229823</v>
      </c>
      <c r="N49" s="27">
        <f t="shared" si="39"/>
        <v>3.5569450299809025</v>
      </c>
      <c r="O49" s="27">
        <f t="shared" si="39"/>
        <v>3.6486801180968835</v>
      </c>
      <c r="P49" s="27">
        <f t="shared" si="39"/>
        <v>3.9698663849734275</v>
      </c>
      <c r="Q49" s="27">
        <f t="shared" si="39"/>
        <v>4.286215016022183</v>
      </c>
      <c r="R49" s="27">
        <f t="shared" si="39"/>
        <v>4.5565062830840812</v>
      </c>
      <c r="S49" s="27">
        <f t="shared" si="39"/>
        <v>4.7883070260924674</v>
      </c>
      <c r="T49" s="27">
        <f t="shared" si="35"/>
        <v>5</v>
      </c>
      <c r="U49" s="18">
        <f t="shared" si="36"/>
        <v>0.4</v>
      </c>
      <c r="V49" s="5">
        <v>3</v>
      </c>
    </row>
    <row r="50" spans="4:22" x14ac:dyDescent="0.3">
      <c r="D50" s="17">
        <v>2</v>
      </c>
      <c r="E50" s="18">
        <f>$B$2*(D50-1)</f>
        <v>0.2</v>
      </c>
      <c r="N50" s="27">
        <f t="shared" si="40"/>
        <v>3.141698921806948</v>
      </c>
      <c r="O50" s="27">
        <f t="shared" si="39"/>
        <v>2.726452815682066</v>
      </c>
      <c r="P50" s="27">
        <f t="shared" si="39"/>
        <v>3.5030493093017583</v>
      </c>
      <c r="Q50" s="27">
        <f t="shared" si="39"/>
        <v>4.0358541570407356</v>
      </c>
      <c r="R50" s="27">
        <f t="shared" si="39"/>
        <v>4.4233877653117437</v>
      </c>
      <c r="S50" s="27">
        <f t="shared" si="39"/>
        <v>4.7298646521031671</v>
      </c>
      <c r="T50" s="27">
        <f t="shared" si="35"/>
        <v>5</v>
      </c>
      <c r="U50" s="18">
        <f>$B$2*(V50-1)</f>
        <v>0.2</v>
      </c>
      <c r="V50" s="5">
        <v>2</v>
      </c>
    </row>
    <row r="51" spans="4:22" x14ac:dyDescent="0.3">
      <c r="D51" s="17">
        <v>1</v>
      </c>
      <c r="E51" s="18">
        <v>0</v>
      </c>
      <c r="O51" s="27">
        <f t="shared" si="40"/>
        <v>2.1832323780048326</v>
      </c>
      <c r="P51" s="27">
        <f t="shared" si="40"/>
        <v>3.2800238835044002</v>
      </c>
      <c r="Q51" s="27">
        <f t="shared" si="40"/>
        <v>3.9307645414238257</v>
      </c>
      <c r="R51" s="27">
        <f t="shared" si="40"/>
        <v>4.3713259719022064</v>
      </c>
      <c r="S51" s="27">
        <f t="shared" si="40"/>
        <v>4.707763818625569</v>
      </c>
      <c r="T51" s="27">
        <f t="shared" si="40"/>
        <v>5</v>
      </c>
      <c r="U51" s="18">
        <v>0</v>
      </c>
      <c r="V51" s="5">
        <v>1</v>
      </c>
    </row>
    <row r="52" spans="4:22" x14ac:dyDescent="0.3">
      <c r="D52" s="6"/>
      <c r="E52" s="12"/>
      <c r="F52" s="11">
        <f>$B$2*(F53-1)</f>
        <v>0</v>
      </c>
      <c r="G52" s="11">
        <f t="shared" ref="G52:T52" si="41">$B$2*(G53-1)</f>
        <v>0.2</v>
      </c>
      <c r="H52" s="11">
        <f t="shared" si="41"/>
        <v>0.4</v>
      </c>
      <c r="I52" s="11">
        <f t="shared" si="41"/>
        <v>0.60000000000000009</v>
      </c>
      <c r="J52" s="11">
        <f t="shared" si="41"/>
        <v>0.8</v>
      </c>
      <c r="K52" s="11">
        <f t="shared" si="41"/>
        <v>1</v>
      </c>
      <c r="L52" s="11">
        <f t="shared" si="41"/>
        <v>1.2000000000000002</v>
      </c>
      <c r="M52" s="11">
        <f t="shared" si="41"/>
        <v>1.4000000000000001</v>
      </c>
      <c r="N52" s="11">
        <f t="shared" si="41"/>
        <v>1.6</v>
      </c>
      <c r="O52" s="11">
        <f t="shared" si="41"/>
        <v>1.8</v>
      </c>
      <c r="P52" s="11">
        <f t="shared" si="41"/>
        <v>2</v>
      </c>
      <c r="Q52" s="11">
        <f t="shared" si="41"/>
        <v>2.2000000000000002</v>
      </c>
      <c r="R52" s="11">
        <f t="shared" si="41"/>
        <v>2.4000000000000004</v>
      </c>
      <c r="S52" s="11">
        <f t="shared" si="41"/>
        <v>2.6</v>
      </c>
      <c r="T52" s="11">
        <f t="shared" si="41"/>
        <v>2.8000000000000003</v>
      </c>
      <c r="U52" s="12"/>
      <c r="V52" s="7"/>
    </row>
    <row r="53" spans="4:22" x14ac:dyDescent="0.3">
      <c r="D53" s="24"/>
      <c r="E53" s="25"/>
      <c r="F53" s="5">
        <v>1</v>
      </c>
      <c r="G53" s="5">
        <v>2</v>
      </c>
      <c r="H53" s="5">
        <v>3</v>
      </c>
      <c r="I53" s="5">
        <v>4</v>
      </c>
      <c r="J53" s="5">
        <v>5</v>
      </c>
      <c r="K53" s="5">
        <v>6</v>
      </c>
      <c r="L53" s="5">
        <v>7</v>
      </c>
      <c r="M53" s="5">
        <v>8</v>
      </c>
      <c r="N53" s="5">
        <v>9</v>
      </c>
      <c r="O53" s="5">
        <v>10</v>
      </c>
      <c r="P53" s="5">
        <v>11</v>
      </c>
      <c r="Q53" s="5">
        <v>12</v>
      </c>
      <c r="R53" s="5">
        <v>13</v>
      </c>
      <c r="S53" s="5">
        <v>14</v>
      </c>
      <c r="T53" s="5">
        <v>15</v>
      </c>
      <c r="U53" s="24"/>
      <c r="V53" s="13"/>
    </row>
    <row r="56" spans="4:22" x14ac:dyDescent="0.3">
      <c r="D56" s="3" t="s">
        <v>10</v>
      </c>
      <c r="E56" s="4"/>
      <c r="F56" s="5">
        <v>1</v>
      </c>
      <c r="G56" s="5">
        <v>2</v>
      </c>
      <c r="H56" s="5">
        <v>3</v>
      </c>
      <c r="I56" s="5">
        <v>4</v>
      </c>
      <c r="J56" s="5">
        <v>5</v>
      </c>
      <c r="K56" s="5">
        <v>6</v>
      </c>
      <c r="L56" s="5">
        <v>7</v>
      </c>
      <c r="M56" s="5">
        <v>8</v>
      </c>
      <c r="N56" s="5">
        <v>9</v>
      </c>
      <c r="O56" s="5">
        <v>10</v>
      </c>
      <c r="P56" s="5">
        <v>11</v>
      </c>
      <c r="Q56" s="5">
        <v>12</v>
      </c>
      <c r="R56" s="5">
        <v>13</v>
      </c>
      <c r="S56" s="5">
        <v>14</v>
      </c>
      <c r="T56" s="5">
        <v>15</v>
      </c>
      <c r="U56" s="6"/>
      <c r="V56" s="7"/>
    </row>
    <row r="57" spans="4:22" x14ac:dyDescent="0.3">
      <c r="D57" s="9"/>
      <c r="E57" s="10"/>
      <c r="F57" s="11">
        <f>$B$2*(F56-1)</f>
        <v>0</v>
      </c>
      <c r="G57" s="11">
        <f t="shared" ref="G57:T57" si="42">$B$2*(G56-1)</f>
        <v>0.2</v>
      </c>
      <c r="H57" s="11">
        <f t="shared" si="42"/>
        <v>0.4</v>
      </c>
      <c r="I57" s="11">
        <f t="shared" si="42"/>
        <v>0.60000000000000009</v>
      </c>
      <c r="J57" s="11">
        <f t="shared" si="42"/>
        <v>0.8</v>
      </c>
      <c r="K57" s="11">
        <f t="shared" si="42"/>
        <v>1</v>
      </c>
      <c r="L57" s="11">
        <f t="shared" si="42"/>
        <v>1.2000000000000002</v>
      </c>
      <c r="M57" s="11">
        <f t="shared" si="42"/>
        <v>1.4000000000000001</v>
      </c>
      <c r="N57" s="11">
        <f t="shared" si="42"/>
        <v>1.6</v>
      </c>
      <c r="O57" s="11">
        <f t="shared" si="42"/>
        <v>1.8</v>
      </c>
      <c r="P57" s="11">
        <f t="shared" si="42"/>
        <v>2</v>
      </c>
      <c r="Q57" s="11">
        <f t="shared" si="42"/>
        <v>2.2000000000000002</v>
      </c>
      <c r="R57" s="11">
        <f t="shared" si="42"/>
        <v>2.4000000000000004</v>
      </c>
      <c r="S57" s="11">
        <f t="shared" si="42"/>
        <v>2.6</v>
      </c>
      <c r="T57" s="11">
        <f t="shared" si="42"/>
        <v>2.8000000000000003</v>
      </c>
      <c r="U57" s="12"/>
      <c r="V57" s="13"/>
    </row>
    <row r="58" spans="4:22" x14ac:dyDescent="0.3">
      <c r="D58" s="17">
        <v>11</v>
      </c>
      <c r="E58" s="18">
        <f t="shared" ref="E58:E66" si="43">$B$2*(D58-1)</f>
        <v>2</v>
      </c>
      <c r="F58" s="27">
        <f>-(G5-F5)/$B$2</f>
        <v>0</v>
      </c>
      <c r="G58" s="27">
        <f>-(H5-F5)/(2*$B$2)</f>
        <v>0</v>
      </c>
      <c r="H58" s="27">
        <f t="shared" ref="H58:S58" si="44">-(I5-G5)/(2*$B$2)</f>
        <v>0</v>
      </c>
      <c r="I58" s="27">
        <f t="shared" si="44"/>
        <v>0</v>
      </c>
      <c r="J58" s="27">
        <f t="shared" si="44"/>
        <v>0</v>
      </c>
      <c r="K58" s="27">
        <f t="shared" si="44"/>
        <v>0</v>
      </c>
      <c r="L58" s="27">
        <f t="shared" si="44"/>
        <v>0</v>
      </c>
      <c r="M58" s="27">
        <f t="shared" si="44"/>
        <v>0</v>
      </c>
      <c r="N58" s="27">
        <f t="shared" si="44"/>
        <v>0</v>
      </c>
      <c r="O58" s="27">
        <f t="shared" si="44"/>
        <v>0</v>
      </c>
      <c r="P58" s="27">
        <f t="shared" si="44"/>
        <v>0</v>
      </c>
      <c r="Q58" s="27">
        <f t="shared" si="44"/>
        <v>0</v>
      </c>
      <c r="R58" s="27">
        <f t="shared" si="44"/>
        <v>0</v>
      </c>
      <c r="S58" s="27">
        <f t="shared" si="44"/>
        <v>0</v>
      </c>
      <c r="T58" s="27">
        <f>-(T5-S5)/$B$2</f>
        <v>0</v>
      </c>
      <c r="U58" s="18">
        <f t="shared" ref="U58:U66" si="45">$B$2*(V58-1)</f>
        <v>2</v>
      </c>
      <c r="V58" s="5">
        <v>11</v>
      </c>
    </row>
    <row r="59" spans="4:22" x14ac:dyDescent="0.3">
      <c r="D59" s="17">
        <v>10</v>
      </c>
      <c r="E59" s="18">
        <f t="shared" si="43"/>
        <v>1.8</v>
      </c>
      <c r="F59" s="27">
        <f t="shared" ref="F59:F63" si="46">-(G6-F6)/$B$2</f>
        <v>-0.14172326582324146</v>
      </c>
      <c r="G59" s="27">
        <f t="shared" ref="G59:S68" si="47">-(H6-F6)/(2*$B$2)</f>
        <v>-0.16217042430508144</v>
      </c>
      <c r="H59" s="27">
        <f t="shared" si="47"/>
        <v>-0.22432093431620892</v>
      </c>
      <c r="I59" s="27">
        <f t="shared" si="47"/>
        <v>-0.32587259583273909</v>
      </c>
      <c r="J59" s="27">
        <f t="shared" si="47"/>
        <v>-0.44703491059047806</v>
      </c>
      <c r="K59" s="27">
        <f t="shared" si="47"/>
        <v>-0.53768385461661961</v>
      </c>
      <c r="L59" s="27">
        <f t="shared" si="47"/>
        <v>-0.56315538855254754</v>
      </c>
      <c r="M59" s="27">
        <f t="shared" si="47"/>
        <v>-0.53474862266957857</v>
      </c>
      <c r="N59" s="27">
        <f t="shared" si="47"/>
        <v>-0.47714327737979456</v>
      </c>
      <c r="O59" s="27">
        <f t="shared" si="47"/>
        <v>-0.41059671233937056</v>
      </c>
      <c r="P59" s="27">
        <f t="shared" si="47"/>
        <v>-0.34775523864030156</v>
      </c>
      <c r="Q59" s="27">
        <f t="shared" si="47"/>
        <v>-0.29543734230122798</v>
      </c>
      <c r="R59" s="27">
        <f t="shared" si="47"/>
        <v>-0.25690066858321536</v>
      </c>
      <c r="S59" s="27">
        <f t="shared" si="47"/>
        <v>-0.23349044793538276</v>
      </c>
      <c r="T59" s="27">
        <f t="shared" ref="T59:T68" si="48">-(T6-S6)/$B$2</f>
        <v>-0.22565589805166653</v>
      </c>
      <c r="U59" s="18">
        <f t="shared" si="45"/>
        <v>1.8</v>
      </c>
      <c r="V59" s="5">
        <v>10</v>
      </c>
    </row>
    <row r="60" spans="4:22" x14ac:dyDescent="0.3">
      <c r="D60" s="17">
        <v>9</v>
      </c>
      <c r="E60" s="18">
        <f t="shared" si="43"/>
        <v>1.6</v>
      </c>
      <c r="F60" s="27">
        <f t="shared" si="46"/>
        <v>-0.24255221516598091</v>
      </c>
      <c r="G60" s="27">
        <f t="shared" si="47"/>
        <v>-0.28263749761443524</v>
      </c>
      <c r="H60" s="27">
        <f t="shared" si="47"/>
        <v>-0.40924071773268622</v>
      </c>
      <c r="I60" s="27">
        <f t="shared" si="47"/>
        <v>-0.63213453919760632</v>
      </c>
      <c r="J60" s="27">
        <f t="shared" si="47"/>
        <v>-0.92458319281152779</v>
      </c>
      <c r="K60" s="27">
        <f t="shared" si="47"/>
        <v>-1.1405451203558359</v>
      </c>
      <c r="L60" s="27">
        <f t="shared" si="47"/>
        <v>-1.1801890778851543</v>
      </c>
      <c r="M60" s="27">
        <f t="shared" si="47"/>
        <v>-1.0986958255372503</v>
      </c>
      <c r="N60" s="27">
        <f t="shared" si="47"/>
        <v>-0.96322777491695266</v>
      </c>
      <c r="O60" s="27">
        <f t="shared" si="47"/>
        <v>-0.81748833326686032</v>
      </c>
      <c r="P60" s="27">
        <f t="shared" si="47"/>
        <v>-0.68498689932064316</v>
      </c>
      <c r="Q60" s="27">
        <f t="shared" si="47"/>
        <v>-0.57709346082263746</v>
      </c>
      <c r="R60" s="27">
        <f t="shared" si="47"/>
        <v>-0.49867488254832226</v>
      </c>
      <c r="S60" s="27">
        <f t="shared" si="47"/>
        <v>-0.45140522320537446</v>
      </c>
      <c r="T60" s="27">
        <f t="shared" si="48"/>
        <v>-0.43564269440344638</v>
      </c>
      <c r="U60" s="18">
        <f t="shared" si="45"/>
        <v>1.6</v>
      </c>
      <c r="V60" s="5">
        <v>9</v>
      </c>
    </row>
    <row r="61" spans="4:22" x14ac:dyDescent="0.3">
      <c r="D61" s="17">
        <v>8</v>
      </c>
      <c r="E61" s="18">
        <f t="shared" si="43"/>
        <v>1.4000000000000001</v>
      </c>
      <c r="F61" s="27">
        <f t="shared" si="46"/>
        <v>-0.26321060043928757</v>
      </c>
      <c r="G61" s="27">
        <f t="shared" si="47"/>
        <v>-0.31658663410943477</v>
      </c>
      <c r="H61" s="27">
        <f t="shared" si="47"/>
        <v>-0.49786990087044458</v>
      </c>
      <c r="I61" s="27">
        <f t="shared" si="47"/>
        <v>-0.86884165172691485</v>
      </c>
      <c r="J61" s="27">
        <f t="shared" si="47"/>
        <v>-1.478618202821409</v>
      </c>
      <c r="K61" s="27">
        <f t="shared" si="47"/>
        <v>-1.9197243580119161</v>
      </c>
      <c r="L61" s="27">
        <f t="shared" si="47"/>
        <v>-1.9183599790401917</v>
      </c>
      <c r="M61" s="27">
        <f t="shared" si="47"/>
        <v>-1.7166178281927724</v>
      </c>
      <c r="N61" s="27">
        <f t="shared" si="47"/>
        <v>-1.4595836643579485</v>
      </c>
      <c r="O61" s="27">
        <f t="shared" si="47"/>
        <v>-1.2111419464267792</v>
      </c>
      <c r="P61" s="27">
        <f t="shared" si="47"/>
        <v>-0.99761056342948295</v>
      </c>
      <c r="Q61" s="27">
        <f t="shared" si="47"/>
        <v>-0.82927471704574041</v>
      </c>
      <c r="R61" s="27">
        <f t="shared" si="47"/>
        <v>-0.7093001745725469</v>
      </c>
      <c r="S61" s="27">
        <f t="shared" si="47"/>
        <v>-0.63781286448644225</v>
      </c>
      <c r="T61" s="27">
        <f t="shared" si="48"/>
        <v>-0.6141044293766651</v>
      </c>
      <c r="U61" s="18">
        <f t="shared" si="45"/>
        <v>1.4000000000000001</v>
      </c>
      <c r="V61" s="5">
        <v>8</v>
      </c>
    </row>
    <row r="62" spans="4:22" x14ac:dyDescent="0.3">
      <c r="D62" s="17">
        <v>7</v>
      </c>
      <c r="E62" s="18">
        <f t="shared" si="43"/>
        <v>1.2000000000000002</v>
      </c>
      <c r="F62" s="27">
        <f t="shared" si="46"/>
        <v>-0.1771169191936095</v>
      </c>
      <c r="G62" s="27">
        <f t="shared" si="47"/>
        <v>-0.2226285384388027</v>
      </c>
      <c r="H62" s="27">
        <f t="shared" si="47"/>
        <v>-0.39681060102987553</v>
      </c>
      <c r="I62" s="27">
        <f t="shared" si="47"/>
        <v>-0.8667439656077891</v>
      </c>
      <c r="J62" s="27">
        <f t="shared" si="47"/>
        <v>-2.2013236108857814</v>
      </c>
      <c r="K62" s="27">
        <f t="shared" si="47"/>
        <v>-3.1413741325908684</v>
      </c>
      <c r="L62" s="27">
        <f t="shared" si="47"/>
        <v>-2.856908654780753</v>
      </c>
      <c r="M62" s="27">
        <f t="shared" si="47"/>
        <v>-2.389831846167477</v>
      </c>
      <c r="N62" s="27">
        <f t="shared" si="47"/>
        <v>-1.9473471092217975</v>
      </c>
      <c r="O62" s="27">
        <f t="shared" si="47"/>
        <v>-1.569885224722809</v>
      </c>
      <c r="P62" s="27">
        <f t="shared" si="47"/>
        <v>-1.2650386895698373</v>
      </c>
      <c r="Q62" s="27">
        <f t="shared" si="47"/>
        <v>-1.0330946665150331</v>
      </c>
      <c r="R62" s="27">
        <f t="shared" si="47"/>
        <v>-0.87143823031343937</v>
      </c>
      <c r="S62" s="27">
        <f t="shared" si="47"/>
        <v>-0.77644162595722044</v>
      </c>
      <c r="T62" s="27">
        <f t="shared" si="48"/>
        <v>-0.74514928920342172</v>
      </c>
      <c r="U62" s="18">
        <f t="shared" si="45"/>
        <v>1.2000000000000002</v>
      </c>
      <c r="V62" s="5">
        <v>7</v>
      </c>
    </row>
    <row r="63" spans="4:22" x14ac:dyDescent="0.3">
      <c r="D63" s="17">
        <v>6</v>
      </c>
      <c r="E63" s="18">
        <f t="shared" si="43"/>
        <v>1</v>
      </c>
      <c r="F63" s="27">
        <f t="shared" si="46"/>
        <v>0</v>
      </c>
      <c r="G63" s="27">
        <f t="shared" si="47"/>
        <v>0</v>
      </c>
      <c r="H63" s="27">
        <f t="shared" si="47"/>
        <v>0</v>
      </c>
      <c r="I63" s="27">
        <f t="shared" si="47"/>
        <v>0</v>
      </c>
      <c r="J63" s="27">
        <f t="shared" si="47"/>
        <v>-3.3185581448859933</v>
      </c>
      <c r="K63" s="27">
        <f t="shared" si="47"/>
        <v>-5.5875399099825644</v>
      </c>
      <c r="L63" s="27">
        <f t="shared" si="47"/>
        <v>-3.9780686649123163</v>
      </c>
      <c r="M63" s="27">
        <f t="shared" si="47"/>
        <v>-3.0384537954198141</v>
      </c>
      <c r="N63" s="27">
        <f t="shared" si="47"/>
        <v>-2.3700877035645207</v>
      </c>
      <c r="O63" s="27">
        <f t="shared" si="47"/>
        <v>-1.8560131540199643</v>
      </c>
      <c r="P63" s="27">
        <f t="shared" si="47"/>
        <v>-1.4595643021957083</v>
      </c>
      <c r="Q63" s="27">
        <f t="shared" si="47"/>
        <v>-1.1666270260961054</v>
      </c>
      <c r="R63" s="27">
        <f t="shared" si="47"/>
        <v>-0.96691644961821588</v>
      </c>
      <c r="S63" s="27">
        <f t="shared" si="47"/>
        <v>-0.85136611448155097</v>
      </c>
      <c r="T63" s="27">
        <f t="shared" si="48"/>
        <v>-0.81360946964649017</v>
      </c>
      <c r="U63" s="18">
        <f t="shared" si="45"/>
        <v>1</v>
      </c>
      <c r="V63" s="5">
        <v>6</v>
      </c>
    </row>
    <row r="64" spans="4:22" x14ac:dyDescent="0.3">
      <c r="D64" s="17">
        <v>5</v>
      </c>
      <c r="E64" s="18">
        <f t="shared" si="43"/>
        <v>0.8</v>
      </c>
      <c r="K64" s="27">
        <f>-(L11-K11)/$B$2</f>
        <v>-5.0084561056540799</v>
      </c>
      <c r="L64" s="27">
        <f t="shared" si="47"/>
        <v>-4.4293723035876909</v>
      </c>
      <c r="M64" s="27">
        <f t="shared" si="47"/>
        <v>-3.4158269707381983</v>
      </c>
      <c r="N64" s="27">
        <f t="shared" si="47"/>
        <v>-2.638536757994423</v>
      </c>
      <c r="O64" s="27">
        <f t="shared" si="47"/>
        <v>-2.024515386378781</v>
      </c>
      <c r="P64" s="27">
        <f t="shared" si="47"/>
        <v>-1.5505783379786764</v>
      </c>
      <c r="Q64" s="27">
        <f t="shared" si="47"/>
        <v>-1.2069326830052407</v>
      </c>
      <c r="R64" s="27">
        <f t="shared" si="47"/>
        <v>-0.97823442312830466</v>
      </c>
      <c r="S64" s="27">
        <f t="shared" si="47"/>
        <v>-0.84849690705073977</v>
      </c>
      <c r="T64" s="27">
        <f t="shared" si="48"/>
        <v>-0.80655635462181019</v>
      </c>
      <c r="U64" s="18">
        <f t="shared" si="45"/>
        <v>0.8</v>
      </c>
      <c r="V64" s="5">
        <v>5</v>
      </c>
    </row>
    <row r="65" spans="4:22" x14ac:dyDescent="0.3">
      <c r="D65" s="17">
        <v>4</v>
      </c>
      <c r="E65" s="18">
        <f t="shared" si="43"/>
        <v>0.60000000000000009</v>
      </c>
      <c r="L65" s="27">
        <f>-(M12-L12)/$B$2</f>
        <v>-3.9931586656229823</v>
      </c>
      <c r="M65" s="27">
        <f t="shared" si="47"/>
        <v>-3.5569450299809025</v>
      </c>
      <c r="N65" s="27">
        <f t="shared" si="47"/>
        <v>-2.7437169742878087</v>
      </c>
      <c r="O65" s="27">
        <f t="shared" si="47"/>
        <v>-2.0529332967447256</v>
      </c>
      <c r="P65" s="27">
        <f t="shared" si="47"/>
        <v>-1.5113009796347965</v>
      </c>
      <c r="Q65" s="27">
        <f t="shared" si="47"/>
        <v>-1.1322909423095573</v>
      </c>
      <c r="R65" s="27">
        <f t="shared" si="47"/>
        <v>-0.89059164867115626</v>
      </c>
      <c r="S65" s="27">
        <f t="shared" si="47"/>
        <v>-0.75783073096481468</v>
      </c>
      <c r="T65" s="27">
        <f t="shared" si="48"/>
        <v>-0.71562212918949486</v>
      </c>
      <c r="U65" s="18">
        <f t="shared" si="45"/>
        <v>0.60000000000000009</v>
      </c>
      <c r="V65" s="5">
        <v>4</v>
      </c>
    </row>
    <row r="66" spans="4:22" x14ac:dyDescent="0.3">
      <c r="D66" s="17">
        <v>3</v>
      </c>
      <c r="E66" s="18">
        <f t="shared" si="43"/>
        <v>0.4</v>
      </c>
      <c r="M66" s="27">
        <f>-(N13-M13)/$B$2</f>
        <v>-3.141698921806948</v>
      </c>
      <c r="N66" s="27">
        <f t="shared" si="47"/>
        <v>-2.726452815682066</v>
      </c>
      <c r="O66" s="27">
        <f t="shared" si="47"/>
        <v>-1.9321998483982843</v>
      </c>
      <c r="P66" s="27">
        <f t="shared" si="47"/>
        <v>-1.3094013413586696</v>
      </c>
      <c r="Q66" s="27">
        <f t="shared" si="47"/>
        <v>-0.92033845600998532</v>
      </c>
      <c r="R66" s="27">
        <f t="shared" si="47"/>
        <v>-0.69401049506243151</v>
      </c>
      <c r="S66" s="27">
        <f t="shared" si="47"/>
        <v>-0.57661223468825629</v>
      </c>
      <c r="T66" s="27">
        <f t="shared" si="48"/>
        <v>-0.54027069579366538</v>
      </c>
      <c r="U66" s="18">
        <f t="shared" si="45"/>
        <v>0.4</v>
      </c>
      <c r="V66" s="5">
        <v>3</v>
      </c>
    </row>
    <row r="67" spans="4:22" x14ac:dyDescent="0.3">
      <c r="D67" s="17">
        <v>2</v>
      </c>
      <c r="E67" s="18">
        <f>$B$2*(D67-1)</f>
        <v>0.2</v>
      </c>
      <c r="N67" s="27">
        <f>-(O14-N14)/$B$2</f>
        <v>-2.1832323780048326</v>
      </c>
      <c r="O67" s="27">
        <f t="shared" si="47"/>
        <v>-1.6400119417522001</v>
      </c>
      <c r="P67" s="27">
        <f>-(Q14-O14)/(2*$B$2)</f>
        <v>-0.87376608170949643</v>
      </c>
      <c r="Q67" s="27">
        <f t="shared" si="47"/>
        <v>-0.54565104419890287</v>
      </c>
      <c r="R67" s="27">
        <f t="shared" si="47"/>
        <v>-0.38849963860087183</v>
      </c>
      <c r="S67" s="27">
        <f t="shared" si="47"/>
        <v>-0.31433701404889686</v>
      </c>
      <c r="T67" s="27">
        <f t="shared" si="48"/>
        <v>-0.29223618137443064</v>
      </c>
      <c r="U67" s="18">
        <f>$B$2*(V67-1)</f>
        <v>0.2</v>
      </c>
      <c r="V67" s="5">
        <v>2</v>
      </c>
    </row>
    <row r="68" spans="4:22" x14ac:dyDescent="0.3">
      <c r="D68" s="17">
        <v>1</v>
      </c>
      <c r="E68" s="18">
        <v>0</v>
      </c>
      <c r="O68" s="27">
        <f>-(P15-O15)/$B$2</f>
        <v>0</v>
      </c>
      <c r="P68" s="27">
        <f>-(Q15-O15)/(2*$B$2)</f>
        <v>0</v>
      </c>
      <c r="Q68" s="27">
        <f t="shared" si="47"/>
        <v>0</v>
      </c>
      <c r="R68" s="27">
        <f t="shared" si="47"/>
        <v>0</v>
      </c>
      <c r="S68" s="27">
        <f t="shared" si="47"/>
        <v>0</v>
      </c>
      <c r="T68" s="27">
        <f t="shared" si="48"/>
        <v>0</v>
      </c>
      <c r="U68" s="18">
        <v>0</v>
      </c>
      <c r="V68" s="5">
        <v>1</v>
      </c>
    </row>
    <row r="69" spans="4:22" x14ac:dyDescent="0.3">
      <c r="D69" s="6"/>
      <c r="E69" s="12"/>
      <c r="F69" s="11">
        <f>$B$2*(F70-1)</f>
        <v>0</v>
      </c>
      <c r="G69" s="11">
        <f t="shared" ref="G69:T69" si="49">$B$2*(G70-1)</f>
        <v>0.2</v>
      </c>
      <c r="H69" s="11">
        <f t="shared" si="49"/>
        <v>0.4</v>
      </c>
      <c r="I69" s="11">
        <f t="shared" si="49"/>
        <v>0.60000000000000009</v>
      </c>
      <c r="J69" s="11">
        <f t="shared" si="49"/>
        <v>0.8</v>
      </c>
      <c r="K69" s="11">
        <f t="shared" si="49"/>
        <v>1</v>
      </c>
      <c r="L69" s="11">
        <f t="shared" si="49"/>
        <v>1.2000000000000002</v>
      </c>
      <c r="M69" s="11">
        <f t="shared" si="49"/>
        <v>1.4000000000000001</v>
      </c>
      <c r="N69" s="11">
        <f t="shared" si="49"/>
        <v>1.6</v>
      </c>
      <c r="O69" s="11">
        <f t="shared" si="49"/>
        <v>1.8</v>
      </c>
      <c r="P69" s="11">
        <f t="shared" si="49"/>
        <v>2</v>
      </c>
      <c r="Q69" s="11">
        <f t="shared" si="49"/>
        <v>2.2000000000000002</v>
      </c>
      <c r="R69" s="11">
        <f t="shared" si="49"/>
        <v>2.4000000000000004</v>
      </c>
      <c r="S69" s="11">
        <f t="shared" si="49"/>
        <v>2.6</v>
      </c>
      <c r="T69" s="11">
        <f t="shared" si="49"/>
        <v>2.8000000000000003</v>
      </c>
      <c r="U69" s="12"/>
      <c r="V69" s="7"/>
    </row>
    <row r="70" spans="4:22" x14ac:dyDescent="0.3">
      <c r="D70" s="24"/>
      <c r="E70" s="25"/>
      <c r="F70" s="5">
        <v>1</v>
      </c>
      <c r="G70" s="5">
        <v>2</v>
      </c>
      <c r="H70" s="5">
        <v>3</v>
      </c>
      <c r="I70" s="5">
        <v>4</v>
      </c>
      <c r="J70" s="5">
        <v>5</v>
      </c>
      <c r="K70" s="5">
        <v>6</v>
      </c>
      <c r="L70" s="5">
        <v>7</v>
      </c>
      <c r="M70" s="5">
        <v>8</v>
      </c>
      <c r="N70" s="5">
        <v>9</v>
      </c>
      <c r="O70" s="5">
        <v>10</v>
      </c>
      <c r="P70" s="5">
        <v>11</v>
      </c>
      <c r="Q70" s="5">
        <v>12</v>
      </c>
      <c r="R70" s="5">
        <v>13</v>
      </c>
      <c r="S70" s="5">
        <v>14</v>
      </c>
      <c r="T70" s="5">
        <v>15</v>
      </c>
      <c r="U70" s="24"/>
      <c r="V70" s="13"/>
    </row>
    <row r="73" spans="4:22" x14ac:dyDescent="0.3">
      <c r="D73" s="28" t="s">
        <v>11</v>
      </c>
      <c r="E73" s="29"/>
      <c r="F73" s="5">
        <v>1</v>
      </c>
      <c r="G73" s="5">
        <v>2</v>
      </c>
      <c r="H73" s="5">
        <v>3</v>
      </c>
      <c r="I73" s="5">
        <v>4</v>
      </c>
      <c r="J73" s="5">
        <v>5</v>
      </c>
      <c r="K73" s="5">
        <v>6</v>
      </c>
      <c r="L73" s="5">
        <v>7</v>
      </c>
      <c r="M73" s="5">
        <v>8</v>
      </c>
      <c r="N73" s="5">
        <v>9</v>
      </c>
      <c r="O73" s="5">
        <v>10</v>
      </c>
      <c r="P73" s="5">
        <v>11</v>
      </c>
      <c r="Q73" s="5">
        <v>12</v>
      </c>
      <c r="R73" s="5">
        <v>13</v>
      </c>
      <c r="S73" s="5">
        <v>14</v>
      </c>
      <c r="T73" s="5">
        <v>15</v>
      </c>
      <c r="U73" s="6"/>
      <c r="V73" s="7"/>
    </row>
    <row r="74" spans="4:22" x14ac:dyDescent="0.3">
      <c r="D74" s="30"/>
      <c r="E74" s="31"/>
      <c r="F74" s="11">
        <f>$B$2*(F73-1)</f>
        <v>0</v>
      </c>
      <c r="G74" s="11">
        <f t="shared" ref="G74:T74" si="50">$B$2*(G73-1)</f>
        <v>0.2</v>
      </c>
      <c r="H74" s="11">
        <f t="shared" si="50"/>
        <v>0.4</v>
      </c>
      <c r="I74" s="11">
        <f t="shared" si="50"/>
        <v>0.60000000000000009</v>
      </c>
      <c r="J74" s="11">
        <f t="shared" si="50"/>
        <v>0.8</v>
      </c>
      <c r="K74" s="11">
        <f t="shared" si="50"/>
        <v>1</v>
      </c>
      <c r="L74" s="11">
        <f t="shared" si="50"/>
        <v>1.2000000000000002</v>
      </c>
      <c r="M74" s="11">
        <f t="shared" si="50"/>
        <v>1.4000000000000001</v>
      </c>
      <c r="N74" s="11">
        <f t="shared" si="50"/>
        <v>1.6</v>
      </c>
      <c r="O74" s="11">
        <f t="shared" si="50"/>
        <v>1.8</v>
      </c>
      <c r="P74" s="11">
        <f t="shared" si="50"/>
        <v>2</v>
      </c>
      <c r="Q74" s="11">
        <f t="shared" si="50"/>
        <v>2.2000000000000002</v>
      </c>
      <c r="R74" s="11">
        <f t="shared" si="50"/>
        <v>2.4000000000000004</v>
      </c>
      <c r="S74" s="11">
        <f t="shared" si="50"/>
        <v>2.6</v>
      </c>
      <c r="T74" s="11">
        <f t="shared" si="50"/>
        <v>2.8000000000000003</v>
      </c>
      <c r="U74" s="12"/>
      <c r="V74" s="13"/>
    </row>
    <row r="75" spans="4:22" x14ac:dyDescent="0.3">
      <c r="D75" s="17">
        <v>11</v>
      </c>
      <c r="E75" s="18">
        <f t="shared" ref="E75:E83" si="51">$B$2*(D75-1)</f>
        <v>2</v>
      </c>
      <c r="F75" s="27">
        <f>(F58^2+F41^2)^0.5</f>
        <v>10</v>
      </c>
      <c r="G75" s="27">
        <f t="shared" ref="G75:T75" si="52">(G58^2+G41^2)^0.5</f>
        <v>9.8582767341767585</v>
      </c>
      <c r="H75" s="27">
        <f t="shared" si="52"/>
        <v>9.6756591513898371</v>
      </c>
      <c r="I75" s="27">
        <f t="shared" si="52"/>
        <v>9.4096348655443407</v>
      </c>
      <c r="J75" s="27">
        <f t="shared" si="52"/>
        <v>9.0239139597243589</v>
      </c>
      <c r="K75" s="27">
        <f t="shared" si="52"/>
        <v>8.5155650443633846</v>
      </c>
      <c r="L75" s="27">
        <f t="shared" si="52"/>
        <v>7.9485462504911197</v>
      </c>
      <c r="M75" s="27">
        <f t="shared" si="52"/>
        <v>7.3892542672582895</v>
      </c>
      <c r="N75" s="27">
        <f t="shared" si="52"/>
        <v>6.8790490051519626</v>
      </c>
      <c r="O75" s="27">
        <f t="shared" si="52"/>
        <v>6.4349677124987004</v>
      </c>
      <c r="P75" s="27">
        <f t="shared" si="52"/>
        <v>6.0578555804732215</v>
      </c>
      <c r="Q75" s="27">
        <f t="shared" si="52"/>
        <v>5.7394572352180973</v>
      </c>
      <c r="R75" s="27">
        <f t="shared" si="52"/>
        <v>5.4669808958707655</v>
      </c>
      <c r="S75" s="27">
        <f t="shared" si="52"/>
        <v>5.2256558980516665</v>
      </c>
      <c r="T75" s="27">
        <f t="shared" si="52"/>
        <v>5</v>
      </c>
      <c r="U75" s="18">
        <f t="shared" ref="U75:U83" si="53">$B$2*(V75-1)</f>
        <v>2</v>
      </c>
      <c r="V75" s="5">
        <v>11</v>
      </c>
    </row>
    <row r="76" spans="4:22" x14ac:dyDescent="0.3">
      <c r="D76" s="17">
        <v>10</v>
      </c>
      <c r="E76" s="18">
        <f t="shared" si="51"/>
        <v>1.8</v>
      </c>
      <c r="F76" s="27">
        <f t="shared" ref="F76:T85" si="54">(F59^2+F42^2)^0.5</f>
        <v>10.001004223780511</v>
      </c>
      <c r="G76" s="27">
        <f t="shared" si="54"/>
        <v>9.8800549082042011</v>
      </c>
      <c r="H76" s="27">
        <f t="shared" si="54"/>
        <v>9.7199513313772066</v>
      </c>
      <c r="I76" s="27">
        <f t="shared" si="54"/>
        <v>9.475088629893877</v>
      </c>
      <c r="J76" s="27">
        <f t="shared" si="54"/>
        <v>9.0962193989799438</v>
      </c>
      <c r="K76" s="27">
        <f t="shared" si="54"/>
        <v>8.561800022642732</v>
      </c>
      <c r="L76" s="27">
        <f t="shared" si="54"/>
        <v>7.9646173457892422</v>
      </c>
      <c r="M76" s="27">
        <f t="shared" si="54"/>
        <v>7.3840993214312514</v>
      </c>
      <c r="N76" s="27">
        <f t="shared" si="54"/>
        <v>6.862594549302667</v>
      </c>
      <c r="O76" s="27">
        <f t="shared" si="54"/>
        <v>6.4146376290450382</v>
      </c>
      <c r="P76" s="27">
        <f t="shared" si="54"/>
        <v>6.0385205215623179</v>
      </c>
      <c r="Q76" s="27">
        <f t="shared" si="54"/>
        <v>5.7241254675253659</v>
      </c>
      <c r="R76" s="27">
        <f t="shared" si="54"/>
        <v>5.457455163453873</v>
      </c>
      <c r="S76" s="27">
        <f t="shared" si="54"/>
        <v>5.2230429254019226</v>
      </c>
      <c r="T76" s="27">
        <f t="shared" si="54"/>
        <v>5.0050894681639315</v>
      </c>
      <c r="U76" s="18">
        <f t="shared" si="53"/>
        <v>1.8</v>
      </c>
      <c r="V76" s="5">
        <v>10</v>
      </c>
    </row>
    <row r="77" spans="4:22" x14ac:dyDescent="0.3">
      <c r="D77" s="17">
        <v>9</v>
      </c>
      <c r="E77" s="18">
        <f t="shared" si="51"/>
        <v>1.6</v>
      </c>
      <c r="F77" s="27">
        <f t="shared" si="54"/>
        <v>10.002941146337006</v>
      </c>
      <c r="G77" s="27">
        <f t="shared" si="54"/>
        <v>9.9432741288780377</v>
      </c>
      <c r="H77" s="27">
        <f t="shared" si="54"/>
        <v>9.8540853525232688</v>
      </c>
      <c r="I77" s="27">
        <f t="shared" si="54"/>
        <v>9.6863560208912389</v>
      </c>
      <c r="J77" s="27">
        <f t="shared" si="54"/>
        <v>9.3484488004840873</v>
      </c>
      <c r="K77" s="27">
        <f t="shared" si="54"/>
        <v>8.7091297897771973</v>
      </c>
      <c r="L77" s="27">
        <f t="shared" si="54"/>
        <v>8.008017383026484</v>
      </c>
      <c r="M77" s="27">
        <f t="shared" si="54"/>
        <v>7.3613722472886884</v>
      </c>
      <c r="N77" s="27">
        <f t="shared" si="54"/>
        <v>6.807198628326729</v>
      </c>
      <c r="O77" s="27">
        <f t="shared" si="54"/>
        <v>6.3493256482043874</v>
      </c>
      <c r="P77" s="27">
        <f t="shared" si="54"/>
        <v>5.9775370144567388</v>
      </c>
      <c r="Q77" s="27">
        <f t="shared" si="54"/>
        <v>5.6760370753817124</v>
      </c>
      <c r="R77" s="27">
        <f t="shared" si="54"/>
        <v>5.4272808496079197</v>
      </c>
      <c r="S77" s="27">
        <f t="shared" si="54"/>
        <v>5.2138021057127037</v>
      </c>
      <c r="T77" s="27">
        <f t="shared" si="54"/>
        <v>5.0189425736092153</v>
      </c>
      <c r="U77" s="18">
        <f t="shared" si="53"/>
        <v>1.6</v>
      </c>
      <c r="V77" s="5">
        <v>9</v>
      </c>
    </row>
    <row r="78" spans="4:22" x14ac:dyDescent="0.3">
      <c r="D78" s="17">
        <v>8</v>
      </c>
      <c r="E78" s="18">
        <f t="shared" si="51"/>
        <v>1.4000000000000001</v>
      </c>
      <c r="F78" s="27">
        <f t="shared" si="54"/>
        <v>10.003463391255231</v>
      </c>
      <c r="G78" s="27">
        <f t="shared" si="54"/>
        <v>10.037711417504996</v>
      </c>
      <c r="H78" s="27">
        <f t="shared" si="54"/>
        <v>10.072321216923472</v>
      </c>
      <c r="I78" s="27">
        <f t="shared" si="54"/>
        <v>10.082652400544804</v>
      </c>
      <c r="J78" s="27">
        <f t="shared" si="54"/>
        <v>9.9360348111398196</v>
      </c>
      <c r="K78" s="27">
        <f t="shared" si="54"/>
        <v>8.9760965350708908</v>
      </c>
      <c r="L78" s="27">
        <f t="shared" si="54"/>
        <v>8.0563024297711614</v>
      </c>
      <c r="M78" s="27">
        <f t="shared" si="54"/>
        <v>7.2964931433705429</v>
      </c>
      <c r="N78" s="27">
        <f t="shared" si="54"/>
        <v>6.6944866000124783</v>
      </c>
      <c r="O78" s="27">
        <f t="shared" si="54"/>
        <v>6.2264963669517641</v>
      </c>
      <c r="P78" s="27">
        <f>(P61^2+P44^2)^0.5</f>
        <v>5.8664829895357924</v>
      </c>
      <c r="Q78" s="27">
        <f t="shared" si="54"/>
        <v>5.5893771405147268</v>
      </c>
      <c r="R78" s="27">
        <f t="shared" si="54"/>
        <v>5.3720684497017501</v>
      </c>
      <c r="S78" s="27">
        <f t="shared" si="54"/>
        <v>5.194062649522091</v>
      </c>
      <c r="T78" s="27">
        <f t="shared" si="54"/>
        <v>5.0375712650224651</v>
      </c>
      <c r="U78" s="18">
        <f t="shared" si="53"/>
        <v>1.4000000000000001</v>
      </c>
      <c r="V78" s="5">
        <v>8</v>
      </c>
    </row>
    <row r="79" spans="4:22" x14ac:dyDescent="0.3">
      <c r="D79" s="17">
        <v>7</v>
      </c>
      <c r="E79" s="18">
        <f t="shared" si="51"/>
        <v>1.2000000000000002</v>
      </c>
      <c r="F79" s="27">
        <f t="shared" si="54"/>
        <v>10.001568397159749</v>
      </c>
      <c r="G79" s="27">
        <f t="shared" si="54"/>
        <v>10.134050987910321</v>
      </c>
      <c r="H79" s="27">
        <f t="shared" si="54"/>
        <v>10.324215148483448</v>
      </c>
      <c r="I79" s="27">
        <f t="shared" si="54"/>
        <v>10.664754481585907</v>
      </c>
      <c r="J79" s="27">
        <f t="shared" si="54"/>
        <v>11.399983841103946</v>
      </c>
      <c r="K79" s="27">
        <f t="shared" si="54"/>
        <v>9.3340324356927091</v>
      </c>
      <c r="L79" s="27">
        <f t="shared" si="54"/>
        <v>8.0421656460272501</v>
      </c>
      <c r="M79" s="27">
        <f t="shared" si="54"/>
        <v>7.1415587904656785</v>
      </c>
      <c r="N79" s="27">
        <f t="shared" si="54"/>
        <v>6.4945985638693546</v>
      </c>
      <c r="O79" s="27">
        <f t="shared" si="54"/>
        <v>6.0273588223121468</v>
      </c>
      <c r="P79" s="27">
        <f t="shared" si="54"/>
        <v>5.6932306655843927</v>
      </c>
      <c r="Q79" s="27">
        <f t="shared" si="54"/>
        <v>5.4560686393736324</v>
      </c>
      <c r="R79" s="27">
        <f t="shared" si="54"/>
        <v>5.2858813910062699</v>
      </c>
      <c r="S79" s="27">
        <f t="shared" si="54"/>
        <v>5.1585208505095217</v>
      </c>
      <c r="T79" s="27">
        <f t="shared" si="54"/>
        <v>5.0552198234300718</v>
      </c>
      <c r="U79" s="18">
        <f t="shared" si="53"/>
        <v>1.2000000000000002</v>
      </c>
      <c r="V79" s="5">
        <v>7</v>
      </c>
    </row>
    <row r="80" spans="4:22" x14ac:dyDescent="0.3">
      <c r="D80" s="17">
        <v>6</v>
      </c>
      <c r="E80" s="18">
        <f t="shared" si="51"/>
        <v>1</v>
      </c>
      <c r="F80" s="27">
        <f t="shared" si="54"/>
        <v>10</v>
      </c>
      <c r="G80" s="27">
        <f t="shared" si="54"/>
        <v>10.177116919193608</v>
      </c>
      <c r="H80" s="27">
        <f t="shared" si="54"/>
        <v>10.445257076877605</v>
      </c>
      <c r="I80" s="27">
        <f t="shared" si="54"/>
        <v>10.97073812125336</v>
      </c>
      <c r="J80" s="27">
        <f t="shared" si="54"/>
        <v>12.622783295816488</v>
      </c>
      <c r="K80" s="27">
        <f t="shared" si="54"/>
        <v>9.5029388334310223</v>
      </c>
      <c r="L80" s="27">
        <f t="shared" si="54"/>
        <v>7.8147989456609945</v>
      </c>
      <c r="M80" s="27">
        <f t="shared" si="54"/>
        <v>6.8275909374387407</v>
      </c>
      <c r="N80" s="27">
        <f t="shared" si="54"/>
        <v>6.1735956647589001</v>
      </c>
      <c r="O80" s="27">
        <f t="shared" si="54"/>
        <v>5.7318531801784367</v>
      </c>
      <c r="P80" s="27">
        <f t="shared" si="54"/>
        <v>5.4451560530326315</v>
      </c>
      <c r="Q80" s="27">
        <f t="shared" si="54"/>
        <v>5.2682940358125068</v>
      </c>
      <c r="R80" s="27">
        <f t="shared" si="54"/>
        <v>5.1633973500991521</v>
      </c>
      <c r="S80" s="27">
        <f t="shared" si="54"/>
        <v>5.1022350293670495</v>
      </c>
      <c r="T80" s="27">
        <f t="shared" si="54"/>
        <v>5.0657635524270619</v>
      </c>
      <c r="U80" s="18">
        <f t="shared" si="53"/>
        <v>1</v>
      </c>
      <c r="V80" s="5">
        <v>6</v>
      </c>
    </row>
    <row r="81" spans="4:22" x14ac:dyDescent="0.3">
      <c r="D81" s="17">
        <v>5</v>
      </c>
      <c r="E81" s="18">
        <f t="shared" si="51"/>
        <v>0.8</v>
      </c>
      <c r="K81" s="27">
        <f t="shared" si="54"/>
        <v>8.314802776146907</v>
      </c>
      <c r="L81" s="27">
        <f t="shared" si="54"/>
        <v>7.1302132681594932</v>
      </c>
      <c r="M81" s="27">
        <f t="shared" si="54"/>
        <v>6.305424422855042</v>
      </c>
      <c r="N81" s="27">
        <f t="shared" si="54"/>
        <v>5.7146417820437305</v>
      </c>
      <c r="O81" s="27">
        <f t="shared" si="54"/>
        <v>5.3261861488957747</v>
      </c>
      <c r="P81" s="27">
        <f t="shared" si="54"/>
        <v>5.1129179165449319</v>
      </c>
      <c r="Q81" s="27">
        <f t="shared" si="54"/>
        <v>5.0218728088999267</v>
      </c>
      <c r="R81" s="27">
        <f t="shared" si="54"/>
        <v>5.0030328421264061</v>
      </c>
      <c r="S81" s="27">
        <f t="shared" si="54"/>
        <v>5.0231873027702392</v>
      </c>
      <c r="T81" s="27">
        <f t="shared" si="54"/>
        <v>5.0646355400147822</v>
      </c>
      <c r="U81" s="18">
        <f t="shared" si="53"/>
        <v>0.8</v>
      </c>
      <c r="V81" s="5">
        <v>5</v>
      </c>
    </row>
    <row r="82" spans="4:22" x14ac:dyDescent="0.3">
      <c r="D82" s="17">
        <v>4</v>
      </c>
      <c r="E82" s="18">
        <f t="shared" si="51"/>
        <v>0.60000000000000009</v>
      </c>
      <c r="L82" s="27">
        <f t="shared" si="54"/>
        <v>6.4054624104043842</v>
      </c>
      <c r="M82" s="27">
        <f t="shared" si="54"/>
        <v>5.6807743266297397</v>
      </c>
      <c r="N82" s="27">
        <f t="shared" si="54"/>
        <v>5.1423313643991353</v>
      </c>
      <c r="O82" s="27">
        <f t="shared" si="54"/>
        <v>4.8023720655471607</v>
      </c>
      <c r="P82" s="27">
        <f t="shared" si="54"/>
        <v>4.6916031735959436</v>
      </c>
      <c r="Q82" s="27">
        <f t="shared" si="54"/>
        <v>4.7204459761219733</v>
      </c>
      <c r="R82" s="27">
        <f t="shared" si="54"/>
        <v>4.8112605454416641</v>
      </c>
      <c r="S82" s="27">
        <f t="shared" si="54"/>
        <v>4.9255056730937099</v>
      </c>
      <c r="T82" s="27">
        <f t="shared" si="54"/>
        <v>5.0509518936321012</v>
      </c>
      <c r="U82" s="18">
        <f t="shared" si="53"/>
        <v>0.60000000000000009</v>
      </c>
      <c r="V82" s="5">
        <v>4</v>
      </c>
    </row>
    <row r="83" spans="4:22" x14ac:dyDescent="0.3">
      <c r="D83" s="17">
        <v>3</v>
      </c>
      <c r="E83" s="18">
        <f t="shared" si="51"/>
        <v>0.4</v>
      </c>
      <c r="M83" s="27">
        <f t="shared" si="54"/>
        <v>5.0809042742530446</v>
      </c>
      <c r="N83" s="27">
        <f t="shared" si="54"/>
        <v>4.4816741182784039</v>
      </c>
      <c r="O83" s="27">
        <f t="shared" si="54"/>
        <v>4.1287120096158123</v>
      </c>
      <c r="P83" s="27">
        <f t="shared" si="54"/>
        <v>4.1802357573818574</v>
      </c>
      <c r="Q83" s="27">
        <f t="shared" si="54"/>
        <v>4.3839094467364266</v>
      </c>
      <c r="R83" s="27">
        <f t="shared" si="54"/>
        <v>4.6090563106824272</v>
      </c>
      <c r="S83" s="27">
        <f t="shared" si="54"/>
        <v>4.8229001488024474</v>
      </c>
      <c r="T83" s="27">
        <f t="shared" si="54"/>
        <v>5.0291045350771313</v>
      </c>
      <c r="U83" s="18">
        <f t="shared" si="53"/>
        <v>0.4</v>
      </c>
      <c r="V83" s="5">
        <v>3</v>
      </c>
    </row>
    <row r="84" spans="4:22" x14ac:dyDescent="0.3">
      <c r="D84" s="17">
        <v>2</v>
      </c>
      <c r="E84" s="18">
        <f>$B$2*(D84-1)</f>
        <v>0.2</v>
      </c>
      <c r="N84" s="27">
        <f t="shared" si="54"/>
        <v>3.8258039327246731</v>
      </c>
      <c r="O84" s="27">
        <f t="shared" si="54"/>
        <v>3.1816951653529739</v>
      </c>
      <c r="P84" s="27">
        <f t="shared" si="54"/>
        <v>3.6103769372387551</v>
      </c>
      <c r="Q84" s="27">
        <f t="shared" si="54"/>
        <v>4.072573368146772</v>
      </c>
      <c r="R84" s="27">
        <f t="shared" si="54"/>
        <v>4.4404156665229699</v>
      </c>
      <c r="S84" s="27">
        <f t="shared" si="54"/>
        <v>4.7402982380453862</v>
      </c>
      <c r="T84" s="27">
        <f t="shared" si="54"/>
        <v>5.008532917502321</v>
      </c>
      <c r="U84" s="18">
        <f>$B$2*(V84-1)</f>
        <v>0.2</v>
      </c>
      <c r="V84" s="5">
        <v>2</v>
      </c>
    </row>
    <row r="85" spans="4:22" x14ac:dyDescent="0.3">
      <c r="D85" s="17">
        <v>1</v>
      </c>
      <c r="E85" s="18">
        <v>0</v>
      </c>
      <c r="O85" s="27">
        <f t="shared" si="54"/>
        <v>2.1832323780048326</v>
      </c>
      <c r="P85" s="27">
        <f t="shared" si="54"/>
        <v>3.2800238835044002</v>
      </c>
      <c r="Q85" s="27">
        <f t="shared" si="54"/>
        <v>3.9307645414238257</v>
      </c>
      <c r="R85" s="27">
        <f t="shared" si="54"/>
        <v>4.3713259719022064</v>
      </c>
      <c r="S85" s="27">
        <f t="shared" si="54"/>
        <v>4.707763818625569</v>
      </c>
      <c r="T85" s="27">
        <f t="shared" si="54"/>
        <v>5</v>
      </c>
      <c r="U85" s="18">
        <v>0</v>
      </c>
      <c r="V85" s="5">
        <v>1</v>
      </c>
    </row>
    <row r="86" spans="4:22" x14ac:dyDescent="0.3">
      <c r="D86" s="6"/>
      <c r="E86" s="12"/>
      <c r="F86" s="11">
        <f>$B$2*(F87-1)</f>
        <v>0</v>
      </c>
      <c r="G86" s="11">
        <f t="shared" ref="G86:T86" si="55">$B$2*(G87-1)</f>
        <v>0.2</v>
      </c>
      <c r="H86" s="11">
        <f t="shared" si="55"/>
        <v>0.4</v>
      </c>
      <c r="I86" s="11">
        <f t="shared" si="55"/>
        <v>0.60000000000000009</v>
      </c>
      <c r="J86" s="11">
        <f t="shared" si="55"/>
        <v>0.8</v>
      </c>
      <c r="K86" s="11">
        <f t="shared" si="55"/>
        <v>1</v>
      </c>
      <c r="L86" s="11">
        <f t="shared" si="55"/>
        <v>1.2000000000000002</v>
      </c>
      <c r="M86" s="11">
        <f t="shared" si="55"/>
        <v>1.4000000000000001</v>
      </c>
      <c r="N86" s="11">
        <f t="shared" si="55"/>
        <v>1.6</v>
      </c>
      <c r="O86" s="11">
        <f t="shared" si="55"/>
        <v>1.8</v>
      </c>
      <c r="P86" s="11">
        <f t="shared" si="55"/>
        <v>2</v>
      </c>
      <c r="Q86" s="11">
        <f t="shared" si="55"/>
        <v>2.2000000000000002</v>
      </c>
      <c r="R86" s="11">
        <f t="shared" si="55"/>
        <v>2.4000000000000004</v>
      </c>
      <c r="S86" s="11">
        <f t="shared" si="55"/>
        <v>2.6</v>
      </c>
      <c r="T86" s="11">
        <f t="shared" si="55"/>
        <v>2.8000000000000003</v>
      </c>
      <c r="U86" s="12"/>
      <c r="V86" s="7"/>
    </row>
    <row r="87" spans="4:22" x14ac:dyDescent="0.3">
      <c r="D87" s="24"/>
      <c r="E87" s="25"/>
      <c r="F87" s="5">
        <v>1</v>
      </c>
      <c r="G87" s="5">
        <v>2</v>
      </c>
      <c r="H87" s="5">
        <v>3</v>
      </c>
      <c r="I87" s="5">
        <v>4</v>
      </c>
      <c r="J87" s="5">
        <v>5</v>
      </c>
      <c r="K87" s="5">
        <v>6</v>
      </c>
      <c r="L87" s="5">
        <v>7</v>
      </c>
      <c r="M87" s="5">
        <v>8</v>
      </c>
      <c r="N87" s="5">
        <v>9</v>
      </c>
      <c r="O87" s="5">
        <v>10</v>
      </c>
      <c r="P87" s="5">
        <v>11</v>
      </c>
      <c r="Q87" s="5">
        <v>12</v>
      </c>
      <c r="R87" s="5">
        <v>13</v>
      </c>
      <c r="S87" s="5">
        <v>14</v>
      </c>
      <c r="T87" s="5">
        <v>15</v>
      </c>
      <c r="U87" s="24"/>
      <c r="V87" s="13"/>
    </row>
  </sheetData>
  <mergeCells count="5">
    <mergeCell ref="D3:E4"/>
    <mergeCell ref="D21:E22"/>
    <mergeCell ref="D39:E40"/>
    <mergeCell ref="D56:E57"/>
    <mergeCell ref="D73:E74"/>
  </mergeCells>
  <conditionalFormatting sqref="F5:T9 F10:L10 K11:L11 L12 M10:M13 N10:N14 O10:T1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9:L30 K29 M29:M31 N29:N32 F23:T28 O29:T3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7:L47 M49:N49 O51:T51 L48 M47:S48 N50 O49:S50 F41:T41 F42:S46 T42:T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S66 F58:T58 K64:S64 L65:S65 N67:S67 O68:S68 F59:S63 T59:T6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5:T80 K81:T81 L82:T82 M83:T83 N84:T84 O85:T8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ter1">
                <anchor moveWithCells="1">
                  <from>
                    <xdr:col>0</xdr:col>
                    <xdr:colOff>0</xdr:colOff>
                    <xdr:row>15</xdr:row>
                    <xdr:rowOff>60960</xdr:rowOff>
                  </from>
                  <to>
                    <xdr:col>2</xdr:col>
                    <xdr:colOff>144780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ter0">
                <anchor moveWithCells="1">
                  <from>
                    <xdr:col>0</xdr:col>
                    <xdr:colOff>0</xdr:colOff>
                    <xdr:row>17</xdr:row>
                    <xdr:rowOff>129540</xdr:rowOff>
                  </from>
                  <to>
                    <xdr:col>2</xdr:col>
                    <xdr:colOff>144780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2021-04-15T13:57:49Z</dcterms:created>
  <dcterms:modified xsi:type="dcterms:W3CDTF">2021-04-15T14:07:40Z</dcterms:modified>
</cp:coreProperties>
</file>